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Özet" sheetId="1" state="visible" r:id="rId3"/>
    <sheet name="Plan" sheetId="2" state="visible" r:id="rId4"/>
  </sheets>
  <definedNames>
    <definedName function="false" hidden="true" localSheetId="1" name="_xlnm._FilterDatabase" vbProcedure="false">Plan!$A$4:$J$76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<sst xmlns="http://schemas.openxmlformats.org/spreadsheetml/2006/main" count="553" uniqueCount="312">
  <si>
    <t xml:space="preserve">Proje Özeti</t>
  </si>
  <si>
    <t xml:space="preserve">Plan sekmesindeki Durum sütunundan otomatik hesaplanır.</t>
  </si>
  <si>
    <t xml:space="preserve">Faz</t>
  </si>
  <si>
    <t xml:space="preserve">Toplam</t>
  </si>
  <si>
    <t xml:space="preserve">Açık</t>
  </si>
  <si>
    <t xml:space="preserve">Devam</t>
  </si>
  <si>
    <t xml:space="preserve">Beklemede</t>
  </si>
  <si>
    <t xml:space="preserve">Tamamlandı</t>
  </si>
  <si>
    <t xml:space="preserve">İlerleme</t>
  </si>
  <si>
    <t xml:space="preserve">A · Hazırlık ve Tasarım</t>
  </si>
  <si>
    <t xml:space="preserve">B · Ekip Sunumu ve Geri Bildirim</t>
  </si>
  <si>
    <t xml:space="preserve">C · Kurumsal Onay ve Altyapı Kararları</t>
  </si>
  <si>
    <t xml:space="preserve">D · Faz 0 — Veri ve Kural Envanteri</t>
  </si>
  <si>
    <t xml:space="preserve">E · Faz 1 — İlk Sürüm Geliştirme</t>
  </si>
  <si>
    <t xml:space="preserve">F · Pilot ve Yaygınlaştırma</t>
  </si>
  <si>
    <t xml:space="preserve">G · Faz 2 ve Sürekli İyileştirme</t>
  </si>
  <si>
    <t xml:space="preserve">TOPLAM</t>
  </si>
  <si>
    <t xml:space="preserve">Gecikmiş görev sayısı (hedef tarihi geçmiş, tamamlanmamış)</t>
  </si>
  <si>
    <t xml:space="preserve">Kritik yol — bunlar gecikirse proje durur</t>
  </si>
  <si>
    <t xml:space="preserve">• C2 · Barındırma kararı (bulut mu kurum içi mi) — her şeyin ön koşulu</t>
  </si>
  <si>
    <t xml:space="preserve">• C3 · AI servisine hangi verinin gidebileceği (KVKK / uyum)</t>
  </si>
  <si>
    <t xml:space="preserve">• C4 · Geliştirme kaynağının belirlenmesi</t>
  </si>
  <si>
    <t xml:space="preserve">• D2 · Alan sözlüğü (birim, %100/pay, kur) — sayıların doğruluğu buna bağlı</t>
  </si>
  <si>
    <t xml:space="preserve">• D6–D8 · Baz prim, yetki matrisi, kural listesi — UW Asistanı bunlarsız çalışmaz</t>
  </si>
  <si>
    <t xml:space="preserve">• E12 · Mutabakat testi — tutmazsa yayına çıkılmaz</t>
  </si>
  <si>
    <t xml:space="preserve">Paralel yürüyebilecek işler</t>
  </si>
  <si>
    <t xml:space="preserve">• D12 · Kütüphane dokümanlarının toplanması — ekip şimdiden başlayabilir</t>
  </si>
  <si>
    <t xml:space="preserve">• C5 · Yangın ekibiyle görüşme — sunumdan önce de yapılabilir</t>
  </si>
  <si>
    <t xml:space="preserve">• D1 · Veri kaynakları listesi — onay sürecini beklemeden çıkarılabilir</t>
  </si>
  <si>
    <t xml:space="preserve">Komuta Merkezi — Sorumluluk Masası · Proje Yapılacaklar Listesi</t>
  </si>
  <si>
    <t xml:space="preserve">Durum sütunundan seçim yapın (Açık / Devam / Beklemede / Tamamlandı). Sarı hücreler sizin dolduracağınız alanlardır. Özet sekmesi otomatik güncellenir.</t>
  </si>
  <si>
    <t xml:space="preserve">No</t>
  </si>
  <si>
    <t xml:space="preserve">Görev</t>
  </si>
  <si>
    <t xml:space="preserve">Bitti sayılır / Çıktı</t>
  </si>
  <si>
    <t xml:space="preserve">Sorumlu</t>
  </si>
  <si>
    <t xml:space="preserve">Bağımlılık</t>
  </si>
  <si>
    <t xml:space="preserve">Durum</t>
  </si>
  <si>
    <t xml:space="preserve">Hedef tarih</t>
  </si>
  <si>
    <t xml:space="preserve">Bitiş tarihi</t>
  </si>
  <si>
    <t xml:space="preserve">Not</t>
  </si>
  <si>
    <t xml:space="preserve">A1</t>
  </si>
  <si>
    <t xml:space="preserve">Yangın dashboard paketini analiz et</t>
  </si>
  <si>
    <t xml:space="preserve">Sorumluluk uyarlama analizi (ANALIZ-SORUMLULUK-DASHBOARD.md)</t>
  </si>
  <si>
    <t xml:space="preserve">Ben + Claude</t>
  </si>
  <si>
    <t xml:space="preserve">—</t>
  </si>
  <si>
    <t xml:space="preserve">A2</t>
  </si>
  <si>
    <t xml:space="preserve">Modül yapısını netleştir</t>
  </si>
  <si>
    <t xml:space="preserve">Yapı Excel’i: 4 katman, 7 modül, Detay sekmesi</t>
  </si>
  <si>
    <t xml:space="preserve">A3</t>
  </si>
  <si>
    <t xml:space="preserve">Açık soruları yanıtla, önerileri kabul/ret et</t>
  </si>
  <si>
    <t xml:space="preserve">Teyit sekmesi dolu, Öneriler’de ok / Faz 2 işaretli</t>
  </si>
  <si>
    <t xml:space="preserve">Ben</t>
  </si>
  <si>
    <t xml:space="preserve">A4</t>
  </si>
  <si>
    <t xml:space="preserve">Sigortalı 360° kartı (Ö01) için karar ver</t>
  </si>
  <si>
    <t xml:space="preserve">Öneriler sekmesinde ‘??’ yerine ok / Faz 2 / ret</t>
  </si>
  <si>
    <t xml:space="preserve">Excel’de hâlâ ‘??’ işaretli</t>
  </si>
  <si>
    <t xml:space="preserve">A5</t>
  </si>
  <si>
    <t xml:space="preserve">Ekran görseli promptlarını hazırla</t>
  </si>
  <si>
    <t xml:space="preserve">GORSEL-PROMPTLARI.md</t>
  </si>
  <si>
    <t xml:space="preserve">Claude</t>
  </si>
  <si>
    <t xml:space="preserve">A6</t>
  </si>
  <si>
    <t xml:space="preserve">ChatGPT’de 10 ekran görselini üret</t>
  </si>
  <si>
    <t xml:space="preserve">Görsel-01 … Görsel-10.png kaydedildi</t>
  </si>
  <si>
    <t xml:space="preserve">Tek sohbette, önce Stil Kilidi + Ekran 1</t>
  </si>
  <si>
    <t xml:space="preserve">A7</t>
  </si>
  <si>
    <t xml:space="preserve">Görselleri kontrol listesiyle gözden geçir ve revize ettir</t>
  </si>
  <si>
    <t xml:space="preserve">Kırmızı kullanımı, rozetler, Türkçe karakter, sıralama yok kontrolü yapıldı</t>
  </si>
  <si>
    <t xml:space="preserve">Promptlar dosyası §3</t>
  </si>
  <si>
    <t xml:space="preserve">A8</t>
  </si>
  <si>
    <t xml:space="preserve">Sunum brifingini hazırla</t>
  </si>
  <si>
    <t xml:space="preserve">Sunum-Brifingi-Komuta-Merkezi.docx</t>
  </si>
  <si>
    <t xml:space="preserve">B1</t>
  </si>
  <si>
    <t xml:space="preserve">Brifingdeki yer tutucuları doldur</t>
  </si>
  <si>
    <t xml:space="preserve">[sayı] son haftaya kalan yenileme, [süre] fakültatif belge, [tarih], [çeyrek], [BT teyidi] dolu</t>
  </si>
  <si>
    <t xml:space="preserve">Rakam yoksa slayttan çıkar, uydurma</t>
  </si>
  <si>
    <t xml:space="preserve">B2</t>
  </si>
  <si>
    <t xml:space="preserve">Yeni sohbette sunumu hazırlat</t>
  </si>
  <si>
    <t xml:space="preserve">13–15 slaytlık PPTX, görseller yerleşik</t>
  </si>
  <si>
    <t xml:space="preserve">B1, A7</t>
  </si>
  <si>
    <t xml:space="preserve">Brifing + görseller birlikte eklenir</t>
  </si>
  <si>
    <t xml:space="preserve">B3</t>
  </si>
  <si>
    <t xml:space="preserve">Geri bildirim formunu hazırla</t>
  </si>
  <si>
    <t xml:space="preserve">MS Forms: brifing §9’daki 9 soru + serbest alan</t>
  </si>
  <si>
    <t xml:space="preserve">B4</t>
  </si>
  <si>
    <t xml:space="preserve">Sunumu ekiple yap</t>
  </si>
  <si>
    <t xml:space="preserve">Toplantı yapıldı, form linki paylaşıldı</t>
  </si>
  <si>
    <t xml:space="preserve">B2, B3</t>
  </si>
  <si>
    <t xml:space="preserve">Süre: 20–25 dk + 15–20 dk tartışma</t>
  </si>
  <si>
    <t xml:space="preserve">B5</t>
  </si>
  <si>
    <t xml:space="preserve">Geri bildirimleri topla</t>
  </si>
  <si>
    <t xml:space="preserve">Tüm UW’lerden form yanıtı alındı</t>
  </si>
  <si>
    <t xml:space="preserve">Ekip</t>
  </si>
  <si>
    <t xml:space="preserve">Son tarih brifingdeki [tarih]</t>
  </si>
  <si>
    <t xml:space="preserve">B6</t>
  </si>
  <si>
    <t xml:space="preserve">Önerileri sınıfla ve yapı Excel’ine işle</t>
  </si>
  <si>
    <t xml:space="preserve">Her öneri: Faz 1 / Faz 2 / Değerlendirilecek / Ret</t>
  </si>
  <si>
    <t xml:space="preserve">B7</t>
  </si>
  <si>
    <t xml:space="preserve">Sonucu ekiple paylaş</t>
  </si>
  <si>
    <t xml:space="preserve">Kısa mail: ne alındı, ne ertelendi, neden</t>
  </si>
  <si>
    <t xml:space="preserve">Katılımı sürdürmek için kritik</t>
  </si>
  <si>
    <t xml:space="preserve">C1</t>
  </si>
  <si>
    <t xml:space="preserve">Projeyi üst yönetime / ilgili birime ilet ve onay al</t>
  </si>
  <si>
    <t xml:space="preserve">Yazılı onay veya toplantı kararı</t>
  </si>
  <si>
    <t xml:space="preserve">Kapsam, fayda, kaynak ihtiyacı tek sayfa</t>
  </si>
  <si>
    <t xml:space="preserve">C2</t>
  </si>
  <si>
    <t xml:space="preserve">Bilgi güvenliği ve BT ile barındırma kararını ver</t>
  </si>
  <si>
    <t xml:space="preserve">Kurum içi mi, bulut mu? Müşteri verisi nerede duracak? Karar yazılı</t>
  </si>
  <si>
    <t xml:space="preserve">Ben + BT</t>
  </si>
  <si>
    <t xml:space="preserve">Yangın paneli dış bulutta (Vercel/Supabase) — aynısı kabul edilir mi teyit</t>
  </si>
  <si>
    <t xml:space="preserve">C3</t>
  </si>
  <si>
    <t xml:space="preserve">Yapay zekâ servisine veri gönderimini netleştir</t>
  </si>
  <si>
    <t xml:space="preserve">KVKK ve kurum politikası açısından hangi veri modele gidebilir, maskeleme kuralı</t>
  </si>
  <si>
    <t xml:space="preserve">Ben + BT + Hukuk/Uyum</t>
  </si>
  <si>
    <t xml:space="preserve">Sigortalı adı, TCKN/VKN gönderilmemesi varsayılan olmalı</t>
  </si>
  <si>
    <t xml:space="preserve">C4</t>
  </si>
  <si>
    <t xml:space="preserve">Geliştirme kaynağını belirle</t>
  </si>
  <si>
    <t xml:space="preserve">Yazılımcı / iç BT / Yangın ekibinin geliştiricisi / Claude ile kendin — karar</t>
  </si>
  <si>
    <t xml:space="preserve">C5</t>
  </si>
  <si>
    <t xml:space="preserve">Yangın ekibiyle görüş</t>
  </si>
  <si>
    <t xml:space="preserve">Ortak altyapı, kod paylaşımı, yaşadıkları sorunlar konuşuldu</t>
  </si>
  <si>
    <t xml:space="preserve">Paketteki 10 ölçüm kuralı ve tek parola sorunu</t>
  </si>
  <si>
    <t xml:space="preserve">C6</t>
  </si>
  <si>
    <t xml:space="preserve">AI kullanım bütçesi ve kotası</t>
  </si>
  <si>
    <t xml:space="preserve">Kullanıcı × kullanım tahmini, aylık tavan onaylı</t>
  </si>
  <si>
    <t xml:space="preserve">Yorum butonu isteğe bağlı olmalı, otomatik değil</t>
  </si>
  <si>
    <t xml:space="preserve">C7</t>
  </si>
  <si>
    <t xml:space="preserve">Kullanıcı listesi ve erişim kapsamı</t>
  </si>
  <si>
    <t xml:space="preserve">Her UW → sorumlu olduğu bölgeler; yönetici tümü</t>
  </si>
  <si>
    <t xml:space="preserve">Teyit T08 cevabı</t>
  </si>
  <si>
    <t xml:space="preserve">D1</t>
  </si>
  <si>
    <t xml:space="preserve">Veri kaynakları listesini çıkar</t>
  </si>
  <si>
    <t xml:space="preserve">Üretim, teklif, poliçe, yenileme, hasar, acente/KIO, bütçe, TSB — her biri için sistem ve dosya adı</t>
  </si>
  <si>
    <t xml:space="preserve">D2</t>
  </si>
  <si>
    <t xml:space="preserve">Alan sözlüğünü hazırla</t>
  </si>
  <si>
    <t xml:space="preserve">Her kolon: anlamı, birimi (% / kesir / ‰), %100 mü pay mı, döviz kuru kuralı, sahibi</t>
  </si>
  <si>
    <t xml:space="preserve">Ben + Yazılımcı</t>
  </si>
  <si>
    <t xml:space="preserve">En çok hata buradan çıkar</t>
  </si>
  <si>
    <t xml:space="preserve">D3</t>
  </si>
  <si>
    <t xml:space="preserve">Veri kalitesi kurallarını onayla</t>
  </si>
  <si>
    <t xml:space="preserve">BÖLGE boş → KSM · Acente boş → aynı Akış No · Poliçe No 0 → pipeline</t>
  </si>
  <si>
    <t xml:space="preserve">Çeyrek rapor metodolojisiyle aynı</t>
  </si>
  <si>
    <t xml:space="preserve">D4</t>
  </si>
  <si>
    <t xml:space="preserve">Örnek veri setlerini hazırla</t>
  </si>
  <si>
    <t xml:space="preserve">Anonimleştirilmiş extract’lar yazılımcıya teslim</t>
  </si>
  <si>
    <t xml:space="preserve">D2, C3, C4</t>
  </si>
  <si>
    <t xml:space="preserve">D5</t>
  </si>
  <si>
    <t xml:space="preserve">Hasar verisinde UW yılı kırılımını teyit et</t>
  </si>
  <si>
    <t xml:space="preserve">UW yılı / kaza yılı alanı var mı — evet/hayır</t>
  </si>
  <si>
    <t xml:space="preserve">Ben + Hasar birimi</t>
  </si>
  <si>
    <t xml:space="preserve">Yoksa hasar panosu ertelenir</t>
  </si>
  <si>
    <t xml:space="preserve">D6</t>
  </si>
  <si>
    <t xml:space="preserve">Her risk için baz prim ve fiyat kurallarını tanımla</t>
  </si>
  <si>
    <t xml:space="preserve">Ürün bazında baz prim tablosu ve fiyat kuralları dokümanı</t>
  </si>
  <si>
    <t xml:space="preserve">Ben + Ekip</t>
  </si>
  <si>
    <t xml:space="preserve">Teyit T01 cevabı</t>
  </si>
  <si>
    <t xml:space="preserve">D7</t>
  </si>
  <si>
    <t xml:space="preserve">Yetki matrisini dokümante et</t>
  </si>
  <si>
    <t xml:space="preserve">UW bazında ürün / limit / prim yetkileri tablosu</t>
  </si>
  <si>
    <t xml:space="preserve">Yetki aşımı uyarısının kaynağı</t>
  </si>
  <si>
    <t xml:space="preserve">D8</t>
  </si>
  <si>
    <t xml:space="preserve">Kural tabanlı uyarı listesini yaz</t>
  </si>
  <si>
    <t xml:space="preserve">Yetki, yaptırım, ABD/Kanada, treaty istisnası, retro kesinti — tetik koşulu ve mesajı</t>
  </si>
  <si>
    <t xml:space="preserve">D7, D9</t>
  </si>
  <si>
    <t xml:space="preserve">Teyit T04: kural tabanlı</t>
  </si>
  <si>
    <t xml:space="preserve">D9</t>
  </si>
  <si>
    <t xml:space="preserve">Treaty limit ve istisna listesini al</t>
  </si>
  <si>
    <t xml:space="preserve">Ürün bazında treaty limiti, istisnalar, fakültatif eşiği</t>
  </si>
  <si>
    <t xml:space="preserve">Ben + Reasürans</t>
  </si>
  <si>
    <t xml:space="preserve">D10</t>
  </si>
  <si>
    <t xml:space="preserve">Eşikleri sabitle (ayar dosyası)</t>
  </si>
  <si>
    <t xml:space="preserve">100.000 ₺ · 60/30/15 gün · SLA 7 gün · HHI 1.500/2.500 · değerlendirme kriterleri</t>
  </si>
  <si>
    <t xml:space="preserve">Koda gömülmez, ayar dosyasına yazılır</t>
  </si>
  <si>
    <t xml:space="preserve">D11</t>
  </si>
  <si>
    <t xml:space="preserve">Ürün bazlı risk bilgi formlarını tasarla</t>
  </si>
  <si>
    <t xml:space="preserve">438, 437, 450, 415, 470, 474 için zorunlu alanlar</t>
  </si>
  <si>
    <t xml:space="preserve">Geri bildirim sorusu 4’ten beslenir</t>
  </si>
  <si>
    <t xml:space="preserve">D12</t>
  </si>
  <si>
    <t xml:space="preserve">Kütüphane dokümanlarını topla ve temizle</t>
  </si>
  <si>
    <t xml:space="preserve">Güncel versiyonlar, tek klasör yapısı, eski sürümler arşivde</t>
  </si>
  <si>
    <t xml:space="preserve">Paralel yürüyebilir</t>
  </si>
  <si>
    <t xml:space="preserve">E1</t>
  </si>
  <si>
    <t xml:space="preserve">Kimlik doğrulama ve erişim kapsamı</t>
  </si>
  <si>
    <t xml:space="preserve">Kişi başı giriş; kapsam sunucuda, oturumdan okunuyor</t>
  </si>
  <si>
    <t xml:space="preserve">Yazılımcı</t>
  </si>
  <si>
    <t xml:space="preserve">C2, C7</t>
  </si>
  <si>
    <t xml:space="preserve">Yangın’daki tek parola hatası tekrarlanmayacak</t>
  </si>
  <si>
    <t xml:space="preserve">E2</t>
  </si>
  <si>
    <t xml:space="preserve">Genel Bakış ekranı</t>
  </si>
  <si>
    <t xml:space="preserve">KPI satırı + 8 kriterli değerlendirme + teklif hunisi</t>
  </si>
  <si>
    <t xml:space="preserve">E1, D10</t>
  </si>
  <si>
    <t xml:space="preserve">Görsel-01</t>
  </si>
  <si>
    <t xml:space="preserve">E3</t>
  </si>
  <si>
    <t xml:space="preserve">Üretim &amp; Performans ekranı</t>
  </si>
  <si>
    <t xml:space="preserve">Görünüm geçişi, ürün büyümesi, acenteler, bütçe ve yıl sonu tahmini</t>
  </si>
  <si>
    <t xml:space="preserve">E1, D2</t>
  </si>
  <si>
    <t xml:space="preserve">Görsel-02</t>
  </si>
  <si>
    <t xml:space="preserve">E4</t>
  </si>
  <si>
    <t xml:space="preserve">Bölge Kartı ekranı</t>
  </si>
  <si>
    <t xml:space="preserve">Bölge künyesi, 3 ayrı ilk 10 acente listesi, UW notları</t>
  </si>
  <si>
    <t xml:space="preserve">Görsel-03</t>
  </si>
  <si>
    <t xml:space="preserve">E5</t>
  </si>
  <si>
    <t xml:space="preserve">Yenileme &amp; Kayıp ekranı</t>
  </si>
  <si>
    <t xml:space="preserve">60/30/15 radar, arama + sayfalama, kaçırılan iş giriş formu</t>
  </si>
  <si>
    <t xml:space="preserve">Görsel-04</t>
  </si>
  <si>
    <t xml:space="preserve">E6</t>
  </si>
  <si>
    <t xml:space="preserve">UW Asistanı — temel akış</t>
  </si>
  <si>
    <t xml:space="preserve">Girdi formu, kıyas verisi, kural tabanlı uyarılar, AI senaryo/istisna, çıktı</t>
  </si>
  <si>
    <t xml:space="preserve">D6, D8, D11</t>
  </si>
  <si>
    <t xml:space="preserve">Görsel-05</t>
  </si>
  <si>
    <t xml:space="preserve">E7</t>
  </si>
  <si>
    <t xml:space="preserve">Teklif mektubu ve acente maili taslağı</t>
  </si>
  <si>
    <t xml:space="preserve">Asistan çıktısından Word / mail taslağı</t>
  </si>
  <si>
    <t xml:space="preserve">Öneri Ö10</t>
  </si>
  <si>
    <t xml:space="preserve">E8</t>
  </si>
  <si>
    <t xml:space="preserve">Ürün UW risk kartı entegrasyonu</t>
  </si>
  <si>
    <t xml:space="preserve">PL/Recall için mevcut risk kartı asistandan çalışıyor</t>
  </si>
  <si>
    <t xml:space="preserve">Öneri Ö12</t>
  </si>
  <si>
    <t xml:space="preserve">E9</t>
  </si>
  <si>
    <t xml:space="preserve">UW Kütüphanesi + arama</t>
  </si>
  <si>
    <t xml:space="preserve">Kategoriler, arama, son eklenenler</t>
  </si>
  <si>
    <t xml:space="preserve">Görsel-09</t>
  </si>
  <si>
    <t xml:space="preserve">E10</t>
  </si>
  <si>
    <t xml:space="preserve">Wording karşılaştırma aracı</t>
  </si>
  <si>
    <t xml:space="preserve">İki wording yüklenir, sapma listesi çıkar</t>
  </si>
  <si>
    <t xml:space="preserve">Öneri Ö08</t>
  </si>
  <si>
    <t xml:space="preserve">E11</t>
  </si>
  <si>
    <t xml:space="preserve">Kişisel Kokpit</t>
  </si>
  <si>
    <t xml:space="preserve">Kendi KPI’ları + anonim ekip medyanı + açık işler listesi</t>
  </si>
  <si>
    <t xml:space="preserve">E1, E3</t>
  </si>
  <si>
    <t xml:space="preserve">Görsel-08 · sıralama yok</t>
  </si>
  <si>
    <t xml:space="preserve">E12</t>
  </si>
  <si>
    <t xml:space="preserve">Mutabakat testi</t>
  </si>
  <si>
    <t xml:space="preserve">Dashboard Q3 rakamları çeyrek raporla birebir aynı</t>
  </si>
  <si>
    <t xml:space="preserve">E2–E5</t>
  </si>
  <si>
    <t xml:space="preserve">Tutmuyorsa yayına çıkılmaz</t>
  </si>
  <si>
    <t xml:space="preserve">E13</t>
  </si>
  <si>
    <t xml:space="preserve">Tuzak testleri</t>
  </si>
  <si>
    <t xml:space="preserve">Her ölçüm kuralı bilerek bozulunca test kırmızı oluyor</t>
  </si>
  <si>
    <t xml:space="preserve">E2–E11</t>
  </si>
  <si>
    <t xml:space="preserve">Paket 03-TEST-DISIPLINI.md</t>
  </si>
  <si>
    <t xml:space="preserve">F1</t>
  </si>
  <si>
    <t xml:space="preserve">Pilot kullanıcıları seç</t>
  </si>
  <si>
    <t xml:space="preserve">2 UW (farklı ürünlerden) belirlendi</t>
  </si>
  <si>
    <t xml:space="preserve">F2</t>
  </si>
  <si>
    <t xml:space="preserve">Pilotu yürüt</t>
  </si>
  <si>
    <t xml:space="preserve">2–4 hafta kullanım, hata ve iyileştirme listesi</t>
  </si>
  <si>
    <t xml:space="preserve">Pilot UW’ler</t>
  </si>
  <si>
    <t xml:space="preserve">Haftalık 15 dk geri bildirim</t>
  </si>
  <si>
    <t xml:space="preserve">F3</t>
  </si>
  <si>
    <t xml:space="preserve">Pilot düzeltmelerini yap</t>
  </si>
  <si>
    <t xml:space="preserve">Kritik hatalar kapandı</t>
  </si>
  <si>
    <t xml:space="preserve">F4</t>
  </si>
  <si>
    <t xml:space="preserve">Kısa kullanım kılavuzu ve eğitim</t>
  </si>
  <si>
    <t xml:space="preserve">1–2 sayfa kılavuz + 30 dk ekip oturumu</t>
  </si>
  <si>
    <t xml:space="preserve">F5</t>
  </si>
  <si>
    <t xml:space="preserve">Veri yükleme rutinini kur</t>
  </si>
  <si>
    <t xml:space="preserve">Hangi veri, hangi sıklıkla, kim yükler — yazılı; ‘veri X gündür yüklenmedi’ uyarısı çalışıyor</t>
  </si>
  <si>
    <t xml:space="preserve">Yangın’da en sık görülen uyarı</t>
  </si>
  <si>
    <t xml:space="preserve">F6</t>
  </si>
  <si>
    <t xml:space="preserve">Tüm ekibe aç</t>
  </si>
  <si>
    <t xml:space="preserve">Bütün UW’ler aktif kullanıcı</t>
  </si>
  <si>
    <t xml:space="preserve">F4, F5</t>
  </si>
  <si>
    <t xml:space="preserve">F7</t>
  </si>
  <si>
    <t xml:space="preserve">İlk ay değerlendirmesi</t>
  </si>
  <si>
    <t xml:space="preserve">Kullanım oranı, TAT değişimi, ekip geri bildirimi</t>
  </si>
  <si>
    <t xml:space="preserve">Faz 2 önceliklerini belirler</t>
  </si>
  <si>
    <t xml:space="preserve">G1</t>
  </si>
  <si>
    <t xml:space="preserve">Fakültatif İşler modülü</t>
  </si>
  <si>
    <t xml:space="preserve">Takip panosu, fiyat hesaplama, PC teklif/poliçe Word, reasürör maili</t>
  </si>
  <si>
    <t xml:space="preserve">F6, D9</t>
  </si>
  <si>
    <t xml:space="preserve">Görsel-06 · Teyit T02/T03</t>
  </si>
  <si>
    <t xml:space="preserve">G2</t>
  </si>
  <si>
    <t xml:space="preserve">Portföy Hasar ekranı</t>
  </si>
  <si>
    <t xml:space="preserve">UW yılı bazlı H/P, büyük hasarlar, DERK’siz görünüm</t>
  </si>
  <si>
    <t xml:space="preserve">Görsel-07</t>
  </si>
  <si>
    <t xml:space="preserve">G3</t>
  </si>
  <si>
    <t xml:space="preserve">Sektör / TSB bağlantısı</t>
  </si>
  <si>
    <t xml:space="preserve">Mevcut sektör kârlılık ve üretim panelleri bağlandı</t>
  </si>
  <si>
    <t xml:space="preserve">Görsel-10</t>
  </si>
  <si>
    <t xml:space="preserve">G4</t>
  </si>
  <si>
    <t xml:space="preserve">Yenileme ön paketi</t>
  </si>
  <si>
    <t xml:space="preserve">Vadeden 90 gün önce otomatik hazırlık paketi</t>
  </si>
  <si>
    <t xml:space="preserve">Öneri Ö07</t>
  </si>
  <si>
    <t xml:space="preserve">G5</t>
  </si>
  <si>
    <t xml:space="preserve">Faaliyet (NACE) risk profili</t>
  </si>
  <si>
    <t xml:space="preserve">Faaliyet koduna göre hazard grade, istisna, soru seti</t>
  </si>
  <si>
    <t xml:space="preserve">Yazılımcı + Ben</t>
  </si>
  <si>
    <t xml:space="preserve">Öneri Ö09</t>
  </si>
  <si>
    <t xml:space="preserve">G6</t>
  </si>
  <si>
    <t xml:space="preserve">Yenilemede fiyat değişimi (rate change)</t>
  </si>
  <si>
    <t xml:space="preserve">Ürün bazında aynı risk için fiyat değişimi</t>
  </si>
  <si>
    <t xml:space="preserve">Öneri Ö16</t>
  </si>
  <si>
    <t xml:space="preserve">G7</t>
  </si>
  <si>
    <t xml:space="preserve">Acente yoğunlaşması (HHI)</t>
  </si>
  <si>
    <t xml:space="preserve">İlk 3 acente payı, HHI, kayıp senaryosu</t>
  </si>
  <si>
    <t xml:space="preserve">Öneri Ö19</t>
  </si>
  <si>
    <t xml:space="preserve">G8</t>
  </si>
  <si>
    <t xml:space="preserve">Treaty yenileme paketi</t>
  </si>
  <si>
    <t xml:space="preserve">Reasürör sunumu formatında portföy profili</t>
  </si>
  <si>
    <t xml:space="preserve">Öneri Ö23</t>
  </si>
  <si>
    <t xml:space="preserve">G9</t>
  </si>
  <si>
    <t xml:space="preserve">Ekip yetkinlik matrisi</t>
  </si>
  <si>
    <t xml:space="preserve">Ürün bazında yetkinlik ve yetki seviyeleri</t>
  </si>
  <si>
    <t xml:space="preserve">Öneri Ö24</t>
  </si>
  <si>
    <t xml:space="preserve">G10</t>
  </si>
  <si>
    <t xml:space="preserve">Planlayıcı uygulama bağlantısı</t>
  </si>
  <si>
    <t xml:space="preserve">Proje takip uygulaması Komuta Merkezi’ne bağlandı</t>
  </si>
  <si>
    <t xml:space="preserve">Ayrı proje (Teyit T07)</t>
  </si>
  <si>
    <t xml:space="preserve">G11</t>
  </si>
  <si>
    <t xml:space="preserve">Çeyreklik gözden geçirme</t>
  </si>
  <si>
    <t xml:space="preserve">Eşikler, kurallar ve öneri listesi her çeyrek güncellenir</t>
  </si>
  <si>
    <t xml:space="preserve">Tekrarlayan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</si>
</sst>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dd\.mm\.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C8102E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4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8F7"/>
        <bgColor rgb="FFD5F0EA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5F0EA"/>
          <bgColor rgb="FF000000"/>
        </patternFill>
      </fill>
    </dxf>
    <dxf>
      <fill>
        <patternFill patternType="solid">
          <fgColor rgb="FFDCE8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>
          <bgColor rgb="FFD5F0EA"/>
        </patternFill>
      </fill>
    </dxf>
    <dxf>
      <fill>
        <patternFill>
          <bgColor rgb="FFDCE8F7"/>
        </patternFill>
      </fill>
    </dxf>
    <dxf>
      <fill>
        <patternFill>
          <bgColor rgb="FFFCE5CD"/>
        </patternFill>
      </fill>
    </dxf>
    <dxf>
      <font>
        <name val="Arial"/>
        <charset val="1"/>
        <family val="0"/>
        <b val="1"/>
        <color rgb="FFC8102E"/>
      </font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D5F0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F7"/>
      <rgbColor rgb="FFCCFFCC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5" min="3" style="0" width="10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customFormat="false" ht="15" hidden="false" customHeight="false" outlineLevel="0" collapsed="false">
      <c r="B5" s="4" t="s">
        <v>9</v>
      </c>
      <c r="C5" s="5" t="n">
        <f aca="false">COUNTIFS(Plan!$B$5:$B$76,B5)</f>
        <v>8</v>
      </c>
      <c r="D5" s="5" t="n">
        <f aca="false">COUNTIFS(Plan!$B$5:$B$76,$B5,Plan!$G$5:$G$76,"Açık")</f>
        <v>3</v>
      </c>
      <c r="E5" s="5" t="n">
        <f aca="false">COUNTIFS(Plan!$B$5:$B$76,$B5,Plan!$G$5:$G$76,"Devam")</f>
        <v>0</v>
      </c>
      <c r="F5" s="5" t="n">
        <f aca="false">COUNTIFS(Plan!$B$5:$B$76,$B5,Plan!$G$5:$G$76,"Beklemede")</f>
        <v>0</v>
      </c>
      <c r="G5" s="5" t="n">
        <f aca="false">COUNTIFS(Plan!$B$5:$B$76,$B5,Plan!$G$5:$G$76,"Tamamlandı")</f>
        <v>5</v>
      </c>
      <c r="H5" s="6" t="n">
        <f aca="false">IF(C5=0,0,G5/C5)</f>
        <v>0.625</v>
      </c>
    </row>
    <row r="6" customFormat="false" ht="15" hidden="false" customHeight="false" outlineLevel="0" collapsed="false">
      <c r="B6" s="4" t="s">
        <v>10</v>
      </c>
      <c r="C6" s="5" t="n">
        <f aca="false">COUNTIFS(Plan!$B$5:$B$76,B6)</f>
        <v>7</v>
      </c>
      <c r="D6" s="5" t="n">
        <f aca="false">COUNTIFS(Plan!$B$5:$B$76,$B6,Plan!$G$5:$G$76,"Açık")</f>
        <v>7</v>
      </c>
      <c r="E6" s="5" t="n">
        <f aca="false">COUNTIFS(Plan!$B$5:$B$76,$B6,Plan!$G$5:$G$76,"Devam")</f>
        <v>0</v>
      </c>
      <c r="F6" s="5" t="n">
        <f aca="false">COUNTIFS(Plan!$B$5:$B$76,$B6,Plan!$G$5:$G$76,"Beklemede")</f>
        <v>0</v>
      </c>
      <c r="G6" s="5" t="n">
        <f aca="false">COUNTIFS(Plan!$B$5:$B$76,$B6,Plan!$G$5:$G$76,"Tamamlandı")</f>
        <v>0</v>
      </c>
      <c r="H6" s="6" t="n">
        <f aca="false">IF(C6=0,0,G6/C6)</f>
        <v>0</v>
      </c>
    </row>
    <row r="7" customFormat="false" ht="15" hidden="false" customHeight="false" outlineLevel="0" collapsed="false">
      <c r="B7" s="4" t="s">
        <v>11</v>
      </c>
      <c r="C7" s="5" t="n">
        <f aca="false">COUNTIFS(Plan!$B$5:$B$76,B7)</f>
        <v>7</v>
      </c>
      <c r="D7" s="5" t="n">
        <f aca="false">COUNTIFS(Plan!$B$5:$B$76,$B7,Plan!$G$5:$G$76,"Açık")</f>
        <v>7</v>
      </c>
      <c r="E7" s="5" t="n">
        <f aca="false">COUNTIFS(Plan!$B$5:$B$76,$B7,Plan!$G$5:$G$76,"Devam")</f>
        <v>0</v>
      </c>
      <c r="F7" s="5" t="n">
        <f aca="false">COUNTIFS(Plan!$B$5:$B$76,$B7,Plan!$G$5:$G$76,"Beklemede")</f>
        <v>0</v>
      </c>
      <c r="G7" s="5" t="n">
        <f aca="false">COUNTIFS(Plan!$B$5:$B$76,$B7,Plan!$G$5:$G$76,"Tamamlandı")</f>
        <v>0</v>
      </c>
      <c r="H7" s="6" t="n">
        <f aca="false">IF(C7=0,0,G7/C7)</f>
        <v>0</v>
      </c>
    </row>
    <row r="8" customFormat="false" ht="15" hidden="false" customHeight="false" outlineLevel="0" collapsed="false">
      <c r="B8" s="4" t="s">
        <v>12</v>
      </c>
      <c r="C8" s="5" t="n">
        <f aca="false">COUNTIFS(Plan!$B$5:$B$76,B8)</f>
        <v>12</v>
      </c>
      <c r="D8" s="5" t="n">
        <f aca="false">COUNTIFS(Plan!$B$5:$B$76,$B8,Plan!$G$5:$G$76,"Açık")</f>
        <v>12</v>
      </c>
      <c r="E8" s="5" t="n">
        <f aca="false">COUNTIFS(Plan!$B$5:$B$76,$B8,Plan!$G$5:$G$76,"Devam")</f>
        <v>0</v>
      </c>
      <c r="F8" s="5" t="n">
        <f aca="false">COUNTIFS(Plan!$B$5:$B$76,$B8,Plan!$G$5:$G$76,"Beklemede")</f>
        <v>0</v>
      </c>
      <c r="G8" s="5" t="n">
        <f aca="false">COUNTIFS(Plan!$B$5:$B$76,$B8,Plan!$G$5:$G$76,"Tamamlandı")</f>
        <v>0</v>
      </c>
      <c r="H8" s="6" t="n">
        <f aca="false">IF(C8=0,0,G8/C8)</f>
        <v>0</v>
      </c>
    </row>
    <row r="9" customFormat="false" ht="15" hidden="false" customHeight="false" outlineLevel="0" collapsed="false">
      <c r="B9" s="4" t="s">
        <v>13</v>
      </c>
      <c r="C9" s="5" t="n">
        <f aca="false">COUNTIFS(Plan!$B$5:$B$76,B9)</f>
        <v>13</v>
      </c>
      <c r="D9" s="5" t="n">
        <f aca="false">COUNTIFS(Plan!$B$5:$B$76,$B9,Plan!$G$5:$G$76,"Açık")</f>
        <v>13</v>
      </c>
      <c r="E9" s="5" t="n">
        <f aca="false">COUNTIFS(Plan!$B$5:$B$76,$B9,Plan!$G$5:$G$76,"Devam")</f>
        <v>0</v>
      </c>
      <c r="F9" s="5" t="n">
        <f aca="false">COUNTIFS(Plan!$B$5:$B$76,$B9,Plan!$G$5:$G$76,"Beklemede")</f>
        <v>0</v>
      </c>
      <c r="G9" s="5" t="n">
        <f aca="false">COUNTIFS(Plan!$B$5:$B$76,$B9,Plan!$G$5:$G$76,"Tamamlandı")</f>
        <v>0</v>
      </c>
      <c r="H9" s="6" t="n">
        <f aca="false">IF(C9=0,0,G9/C9)</f>
        <v>0</v>
      </c>
    </row>
    <row r="10" customFormat="false" ht="15" hidden="false" customHeight="false" outlineLevel="0" collapsed="false">
      <c r="B10" s="4" t="s">
        <v>14</v>
      </c>
      <c r="C10" s="5" t="n">
        <f aca="false">COUNTIFS(Plan!$B$5:$B$76,B10)</f>
        <v>7</v>
      </c>
      <c r="D10" s="5" t="n">
        <f aca="false">COUNTIFS(Plan!$B$5:$B$76,$B10,Plan!$G$5:$G$76,"Açık")</f>
        <v>7</v>
      </c>
      <c r="E10" s="5" t="n">
        <f aca="false">COUNTIFS(Plan!$B$5:$B$76,$B10,Plan!$G$5:$G$76,"Devam")</f>
        <v>0</v>
      </c>
      <c r="F10" s="5" t="n">
        <f aca="false">COUNTIFS(Plan!$B$5:$B$76,$B10,Plan!$G$5:$G$76,"Beklemede")</f>
        <v>0</v>
      </c>
      <c r="G10" s="5" t="n">
        <f aca="false">COUNTIFS(Plan!$B$5:$B$76,$B10,Plan!$G$5:$G$76,"Tamamlandı")</f>
        <v>0</v>
      </c>
      <c r="H10" s="6" t="n">
        <f aca="false">IF(C10=0,0,G10/C10)</f>
        <v>0</v>
      </c>
    </row>
    <row r="11" customFormat="false" ht="15" hidden="false" customHeight="false" outlineLevel="0" collapsed="false">
      <c r="B11" s="4" t="s">
        <v>15</v>
      </c>
      <c r="C11" s="5" t="n">
        <f aca="false">COUNTIFS(Plan!$B$5:$B$76,B11)</f>
        <v>11</v>
      </c>
      <c r="D11" s="5" t="n">
        <f aca="false">COUNTIFS(Plan!$B$5:$B$76,$B11,Plan!$G$5:$G$76,"Açık")</f>
        <v>11</v>
      </c>
      <c r="E11" s="5" t="n">
        <f aca="false">COUNTIFS(Plan!$B$5:$B$76,$B11,Plan!$G$5:$G$76,"Devam")</f>
        <v>0</v>
      </c>
      <c r="F11" s="5" t="n">
        <f aca="false">COUNTIFS(Plan!$B$5:$B$76,$B11,Plan!$G$5:$G$76,"Beklemede")</f>
        <v>0</v>
      </c>
      <c r="G11" s="5" t="n">
        <f aca="false">COUNTIFS(Plan!$B$5:$B$76,$B11,Plan!$G$5:$G$76,"Tamamlandı")</f>
        <v>0</v>
      </c>
      <c r="H11" s="6" t="n">
        <f aca="false">IF(C11=0,0,G11/C11)</f>
        <v>0</v>
      </c>
    </row>
    <row r="12" customFormat="false" ht="15" hidden="false" customHeight="false" outlineLevel="0" collapsed="false">
      <c r="B12" s="7" t="s">
        <v>16</v>
      </c>
      <c r="C12" s="8" t="n">
        <f aca="false">SUM(C5:C11)</f>
        <v>65</v>
      </c>
      <c r="D12" s="8" t="n">
        <f aca="false">SUM(D5:D11)</f>
        <v>60</v>
      </c>
      <c r="E12" s="8" t="n">
        <f aca="false">SUM(E5:E11)</f>
        <v>0</v>
      </c>
      <c r="F12" s="8" t="n">
        <f aca="false">SUM(F5:F11)</f>
        <v>0</v>
      </c>
      <c r="G12" s="8" t="n">
        <f aca="false">SUM(G5:G11)</f>
        <v>5</v>
      </c>
      <c r="H12" s="9" t="n">
        <f aca="false">IF(C12=0,0,G12/C12)</f>
        <v>0.0769230769230769</v>
      </c>
    </row>
    <row r="14" customFormat="false" ht="15" hidden="false" customHeight="false" outlineLevel="0" collapsed="false">
      <c r="B14" s="10" t="s">
        <v>17</v>
      </c>
      <c r="C14" s="11" t="n">
        <f aca="true">COUNTIFS(Plan!$H$5:$H$76,"&lt;"&amp;TODAY(),Plan!$G$5:$G$76,"&lt;&gt;Tamamlandı")</f>
        <v>0</v>
      </c>
    </row>
    <row r="16" customFormat="false" ht="15" hidden="false" customHeight="false" outlineLevel="0" collapsed="false">
      <c r="B16" s="12" t="s">
        <v>18</v>
      </c>
    </row>
    <row r="17" customFormat="false" ht="15" hidden="false" customHeight="true" outlineLevel="0" collapsed="false">
      <c r="B17" s="13" t="s">
        <v>19</v>
      </c>
      <c r="C17" s="13"/>
      <c r="D17" s="13"/>
      <c r="E17" s="13"/>
      <c r="F17" s="13"/>
      <c r="G17" s="13"/>
      <c r="H17" s="13"/>
    </row>
    <row r="18" customFormat="false" ht="15" hidden="false" customHeight="true" outlineLevel="0" collapsed="false">
      <c r="B18" s="13" t="s">
        <v>20</v>
      </c>
      <c r="C18" s="13"/>
      <c r="D18" s="13"/>
      <c r="E18" s="13"/>
      <c r="F18" s="13"/>
      <c r="G18" s="13"/>
      <c r="H18" s="13"/>
    </row>
    <row r="19" customFormat="false" ht="15" hidden="false" customHeight="true" outlineLevel="0" collapsed="false">
      <c r="B19" s="13" t="s">
        <v>21</v>
      </c>
      <c r="C19" s="13"/>
      <c r="D19" s="13"/>
      <c r="E19" s="13"/>
      <c r="F19" s="13"/>
      <c r="G19" s="13"/>
      <c r="H19" s="13"/>
    </row>
    <row r="20" customFormat="false" ht="15" hidden="false" customHeight="true" outlineLevel="0" collapsed="false">
      <c r="B20" s="13" t="s">
        <v>22</v>
      </c>
      <c r="C20" s="13"/>
      <c r="D20" s="13"/>
      <c r="E20" s="13"/>
      <c r="F20" s="13"/>
      <c r="G20" s="13"/>
      <c r="H20" s="13"/>
    </row>
    <row r="21" customFormat="false" ht="15" hidden="false" customHeight="true" outlineLevel="0" collapsed="false">
      <c r="B21" s="13" t="s">
        <v>23</v>
      </c>
      <c r="C21" s="13"/>
      <c r="D21" s="13"/>
      <c r="E21" s="13"/>
      <c r="F21" s="13"/>
      <c r="G21" s="13"/>
      <c r="H21" s="13"/>
    </row>
    <row r="22" customFormat="false" ht="15" hidden="false" customHeight="true" outlineLevel="0" collapsed="false">
      <c r="B22" s="13" t="s">
        <v>24</v>
      </c>
      <c r="C22" s="13"/>
      <c r="D22" s="13"/>
      <c r="E22" s="13"/>
      <c r="F22" s="13"/>
      <c r="G22" s="13"/>
      <c r="H22" s="13"/>
    </row>
    <row r="24" customFormat="false" ht="15" hidden="false" customHeight="false" outlineLevel="0" collapsed="false">
      <c r="B24" s="12" t="s">
        <v>25</v>
      </c>
    </row>
    <row r="25" customFormat="false" ht="15" hidden="false" customHeight="false" outlineLevel="0" collapsed="false">
      <c r="B25" s="14" t="s">
        <v>26</v>
      </c>
      <c r="C25" s="14"/>
      <c r="D25" s="14"/>
      <c r="E25" s="14"/>
      <c r="F25" s="14"/>
      <c r="G25" s="14"/>
      <c r="H25" s="14"/>
    </row>
    <row r="26" customFormat="false" ht="15" hidden="false" customHeight="false" outlineLevel="0" collapsed="false">
      <c r="B26" s="14" t="s">
        <v>27</v>
      </c>
      <c r="C26" s="14"/>
      <c r="D26" s="14"/>
      <c r="E26" s="14"/>
      <c r="F26" s="14"/>
      <c r="G26" s="14"/>
      <c r="H26" s="14"/>
    </row>
    <row r="27" customFormat="false" ht="15" hidden="false" customHeight="false" outlineLevel="0" collapsed="false">
      <c r="B27" s="14" t="s">
        <v>28</v>
      </c>
      <c r="C27" s="14"/>
      <c r="D27" s="14"/>
      <c r="E27" s="14"/>
      <c r="F27" s="14"/>
      <c r="G27" s="14"/>
      <c r="H27" s="14"/>
    </row>
  </sheetData>
  <mergeCells count="9">
    <mergeCell ref="B17:H17"/>
    <mergeCell ref="B18:H18"/>
    <mergeCell ref="B19:H19"/>
    <mergeCell ref="B20:H20"/>
    <mergeCell ref="B21:H21"/>
    <mergeCell ref="B22:H22"/>
    <mergeCell ref="B25:H25"/>
    <mergeCell ref="B26:H26"/>
    <mergeCell ref="B27:H27"/>
  </mergeCells>
  <conditionalFormatting sqref="H5:H12">
    <cfRule type="dataBar" priority="2">
      <dataBar showValue="1" minLength="10" maxLength="90">
        <cfvo type="num" val="0"/>
        <cfvo type="num" val="1"/>
        <color rgb="FF2A9D8F"/>
      </dataBar>
      <extLst>
        <ext xmlns:x14="http://schemas.microsoft.com/office/spreadsheetml/2009/9/main" uri="{B025F937-C7B1-47D3-B67F-A62EFF666E3E}">
          <x14:id>{30A64F90-6279-4093-A374-636BB02D2487}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A64F90-6279-4093-A374-636BB02D248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A9D8F"/>
              <x14:axisColor rgb="FF000000"/>
            </x14:dataBar>
          </x14:cfRule>
          <xm:sqref>H5:H12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9" min="8" style="0" width="12"/>
    <col collapsed="false" customWidth="true" hidden="false" outlineLevel="0" max="10" min="10" style="0" width="38"/>
  </cols>
  <sheetData>
    <row r="1" customFormat="false" ht="17.35" hidden="false" customHeight="false" outlineLevel="0" collapsed="false">
      <c r="A1" s="15" t="s">
        <v>29</v>
      </c>
    </row>
    <row r="2" customFormat="false" ht="15" hidden="false" customHeight="false" outlineLevel="0" collapsed="false">
      <c r="A2" s="2" t="s">
        <v>30</v>
      </c>
    </row>
    <row r="4" customFormat="false" ht="15" hidden="false" customHeight="false" outlineLevel="0" collapsed="false">
      <c r="A4" s="3" t="s">
        <v>31</v>
      </c>
      <c r="B4" s="3" t="s">
        <v>2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</row>
    <row r="5" customFormat="false" ht="19.5" hidden="false" customHeight="true" outlineLevel="0" collapsed="false">
      <c r="A5" s="16" t="s">
        <v>9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23.85" hidden="false" customHeight="false" outlineLevel="0" collapsed="false">
      <c r="A6" s="17" t="s">
        <v>40</v>
      </c>
      <c r="B6" s="17" t="s">
        <v>9</v>
      </c>
      <c r="C6" s="17" t="s">
        <v>41</v>
      </c>
      <c r="D6" s="17" t="s">
        <v>42</v>
      </c>
      <c r="E6" s="17" t="s">
        <v>43</v>
      </c>
      <c r="F6" s="17" t="s">
        <v>44</v>
      </c>
      <c r="G6" s="18" t="s">
        <v>7</v>
      </c>
      <c r="H6" s="19"/>
      <c r="I6" s="19"/>
      <c r="J6" s="17"/>
    </row>
    <row r="7" customFormat="false" ht="15" hidden="false" customHeight="false" outlineLevel="0" collapsed="false">
      <c r="A7" s="17" t="s">
        <v>45</v>
      </c>
      <c r="B7" s="17" t="s">
        <v>9</v>
      </c>
      <c r="C7" s="17" t="s">
        <v>46</v>
      </c>
      <c r="D7" s="17" t="s">
        <v>47</v>
      </c>
      <c r="E7" s="17" t="s">
        <v>43</v>
      </c>
      <c r="F7" s="17" t="s">
        <v>40</v>
      </c>
      <c r="G7" s="18" t="s">
        <v>7</v>
      </c>
      <c r="H7" s="19"/>
      <c r="I7" s="19"/>
      <c r="J7" s="17"/>
    </row>
    <row r="8" customFormat="false" ht="15" hidden="false" customHeight="false" outlineLevel="0" collapsed="false">
      <c r="A8" s="17" t="s">
        <v>48</v>
      </c>
      <c r="B8" s="17" t="s">
        <v>9</v>
      </c>
      <c r="C8" s="17" t="s">
        <v>49</v>
      </c>
      <c r="D8" s="17" t="s">
        <v>50</v>
      </c>
      <c r="E8" s="17" t="s">
        <v>51</v>
      </c>
      <c r="F8" s="17" t="s">
        <v>45</v>
      </c>
      <c r="G8" s="18" t="s">
        <v>7</v>
      </c>
      <c r="H8" s="19"/>
      <c r="I8" s="19"/>
      <c r="J8" s="17"/>
    </row>
    <row r="9" customFormat="false" ht="15" hidden="false" customHeight="false" outlineLevel="0" collapsed="false">
      <c r="A9" s="17" t="s">
        <v>52</v>
      </c>
      <c r="B9" s="17" t="s">
        <v>9</v>
      </c>
      <c r="C9" s="17" t="s">
        <v>53</v>
      </c>
      <c r="D9" s="17" t="s">
        <v>54</v>
      </c>
      <c r="E9" s="17" t="s">
        <v>51</v>
      </c>
      <c r="F9" s="17" t="s">
        <v>48</v>
      </c>
      <c r="G9" s="18" t="s">
        <v>4</v>
      </c>
      <c r="H9" s="19"/>
      <c r="I9" s="19"/>
      <c r="J9" s="17" t="s">
        <v>55</v>
      </c>
    </row>
    <row r="10" customFormat="false" ht="15" hidden="false" customHeight="false" outlineLevel="0" collapsed="false">
      <c r="A10" s="17" t="s">
        <v>56</v>
      </c>
      <c r="B10" s="17" t="s">
        <v>9</v>
      </c>
      <c r="C10" s="17" t="s">
        <v>57</v>
      </c>
      <c r="D10" s="17" t="s">
        <v>58</v>
      </c>
      <c r="E10" s="17" t="s">
        <v>59</v>
      </c>
      <c r="F10" s="17" t="s">
        <v>48</v>
      </c>
      <c r="G10" s="18" t="s">
        <v>7</v>
      </c>
      <c r="H10" s="19"/>
      <c r="I10" s="19"/>
      <c r="J10" s="17"/>
    </row>
    <row r="11" customFormat="false" ht="15" hidden="false" customHeight="false" outlineLevel="0" collapsed="false">
      <c r="A11" s="17" t="s">
        <v>60</v>
      </c>
      <c r="B11" s="17" t="s">
        <v>9</v>
      </c>
      <c r="C11" s="17" t="s">
        <v>61</v>
      </c>
      <c r="D11" s="17" t="s">
        <v>62</v>
      </c>
      <c r="E11" s="17" t="s">
        <v>51</v>
      </c>
      <c r="F11" s="17" t="s">
        <v>56</v>
      </c>
      <c r="G11" s="18" t="s">
        <v>4</v>
      </c>
      <c r="H11" s="19"/>
      <c r="I11" s="19"/>
      <c r="J11" s="17" t="s">
        <v>63</v>
      </c>
    </row>
    <row r="12" customFormat="false" ht="23.85" hidden="false" customHeight="false" outlineLevel="0" collapsed="false">
      <c r="A12" s="17" t="s">
        <v>64</v>
      </c>
      <c r="B12" s="17" t="s">
        <v>9</v>
      </c>
      <c r="C12" s="17" t="s">
        <v>65</v>
      </c>
      <c r="D12" s="17" t="s">
        <v>66</v>
      </c>
      <c r="E12" s="17" t="s">
        <v>51</v>
      </c>
      <c r="F12" s="17" t="s">
        <v>60</v>
      </c>
      <c r="G12" s="18" t="s">
        <v>4</v>
      </c>
      <c r="H12" s="19"/>
      <c r="I12" s="19"/>
      <c r="J12" s="17" t="s">
        <v>67</v>
      </c>
    </row>
    <row r="13" customFormat="false" ht="15" hidden="false" customHeight="false" outlineLevel="0" collapsed="false">
      <c r="A13" s="17" t="s">
        <v>68</v>
      </c>
      <c r="B13" s="17" t="s">
        <v>9</v>
      </c>
      <c r="C13" s="17" t="s">
        <v>69</v>
      </c>
      <c r="D13" s="17" t="s">
        <v>70</v>
      </c>
      <c r="E13" s="17" t="s">
        <v>59</v>
      </c>
      <c r="F13" s="17" t="s">
        <v>48</v>
      </c>
      <c r="G13" s="18" t="s">
        <v>7</v>
      </c>
      <c r="H13" s="19"/>
      <c r="I13" s="19"/>
      <c r="J13" s="17"/>
    </row>
    <row r="14" customFormat="false" ht="19.5" hidden="false" customHeight="true" outlineLevel="0" collapsed="false">
      <c r="A14" s="16" t="s">
        <v>10</v>
      </c>
      <c r="B14" s="16"/>
      <c r="C14" s="16"/>
      <c r="D14" s="16"/>
      <c r="E14" s="16"/>
      <c r="F14" s="16"/>
      <c r="G14" s="16"/>
      <c r="H14" s="16"/>
      <c r="I14" s="16"/>
      <c r="J14" s="16"/>
    </row>
    <row r="15" customFormat="false" ht="23.85" hidden="false" customHeight="false" outlineLevel="0" collapsed="false">
      <c r="A15" s="17" t="s">
        <v>71</v>
      </c>
      <c r="B15" s="17" t="s">
        <v>10</v>
      </c>
      <c r="C15" s="17" t="s">
        <v>72</v>
      </c>
      <c r="D15" s="17" t="s">
        <v>73</v>
      </c>
      <c r="E15" s="17" t="s">
        <v>51</v>
      </c>
      <c r="F15" s="17" t="s">
        <v>68</v>
      </c>
      <c r="G15" s="18" t="s">
        <v>4</v>
      </c>
      <c r="H15" s="19"/>
      <c r="I15" s="19"/>
      <c r="J15" s="17" t="s">
        <v>74</v>
      </c>
    </row>
    <row r="16" customFormat="false" ht="23.85" hidden="false" customHeight="false" outlineLevel="0" collapsed="false">
      <c r="A16" s="17" t="s">
        <v>75</v>
      </c>
      <c r="B16" s="17" t="s">
        <v>10</v>
      </c>
      <c r="C16" s="17" t="s">
        <v>76</v>
      </c>
      <c r="D16" s="17" t="s">
        <v>77</v>
      </c>
      <c r="E16" s="17" t="s">
        <v>43</v>
      </c>
      <c r="F16" s="17" t="s">
        <v>78</v>
      </c>
      <c r="G16" s="18" t="s">
        <v>4</v>
      </c>
      <c r="H16" s="19"/>
      <c r="I16" s="19"/>
      <c r="J16" s="17" t="s">
        <v>79</v>
      </c>
    </row>
    <row r="17" customFormat="false" ht="23.85" hidden="false" customHeight="false" outlineLevel="0" collapsed="false">
      <c r="A17" s="17" t="s">
        <v>80</v>
      </c>
      <c r="B17" s="17" t="s">
        <v>10</v>
      </c>
      <c r="C17" s="17" t="s">
        <v>81</v>
      </c>
      <c r="D17" s="17" t="s">
        <v>82</v>
      </c>
      <c r="E17" s="17" t="s">
        <v>51</v>
      </c>
      <c r="F17" s="17" t="s">
        <v>75</v>
      </c>
      <c r="G17" s="18" t="s">
        <v>4</v>
      </c>
      <c r="H17" s="19"/>
      <c r="I17" s="19"/>
      <c r="J17" s="17"/>
    </row>
    <row r="18" customFormat="false" ht="23.85" hidden="false" customHeight="false" outlineLevel="0" collapsed="false">
      <c r="A18" s="17" t="s">
        <v>83</v>
      </c>
      <c r="B18" s="17" t="s">
        <v>10</v>
      </c>
      <c r="C18" s="17" t="s">
        <v>84</v>
      </c>
      <c r="D18" s="17" t="s">
        <v>85</v>
      </c>
      <c r="E18" s="17" t="s">
        <v>51</v>
      </c>
      <c r="F18" s="17" t="s">
        <v>86</v>
      </c>
      <c r="G18" s="18" t="s">
        <v>4</v>
      </c>
      <c r="H18" s="19"/>
      <c r="I18" s="19"/>
      <c r="J18" s="17" t="s">
        <v>87</v>
      </c>
    </row>
    <row r="19" customFormat="false" ht="23.85" hidden="false" customHeight="false" outlineLevel="0" collapsed="false">
      <c r="A19" s="17" t="s">
        <v>88</v>
      </c>
      <c r="B19" s="17" t="s">
        <v>10</v>
      </c>
      <c r="C19" s="17" t="s">
        <v>89</v>
      </c>
      <c r="D19" s="17" t="s">
        <v>90</v>
      </c>
      <c r="E19" s="17" t="s">
        <v>91</v>
      </c>
      <c r="F19" s="17" t="s">
        <v>83</v>
      </c>
      <c r="G19" s="18" t="s">
        <v>4</v>
      </c>
      <c r="H19" s="19"/>
      <c r="I19" s="19"/>
      <c r="J19" s="17" t="s">
        <v>92</v>
      </c>
    </row>
    <row r="20" customFormat="false" ht="23.85" hidden="false" customHeight="false" outlineLevel="0" collapsed="false">
      <c r="A20" s="17" t="s">
        <v>93</v>
      </c>
      <c r="B20" s="17" t="s">
        <v>10</v>
      </c>
      <c r="C20" s="17" t="s">
        <v>94</v>
      </c>
      <c r="D20" s="17" t="s">
        <v>95</v>
      </c>
      <c r="E20" s="17" t="s">
        <v>43</v>
      </c>
      <c r="F20" s="17" t="s">
        <v>88</v>
      </c>
      <c r="G20" s="18" t="s">
        <v>4</v>
      </c>
      <c r="H20" s="19"/>
      <c r="I20" s="19"/>
      <c r="J20" s="17"/>
    </row>
    <row r="21" customFormat="false" ht="23.85" hidden="false" customHeight="false" outlineLevel="0" collapsed="false">
      <c r="A21" s="17" t="s">
        <v>96</v>
      </c>
      <c r="B21" s="17" t="s">
        <v>10</v>
      </c>
      <c r="C21" s="17" t="s">
        <v>97</v>
      </c>
      <c r="D21" s="17" t="s">
        <v>98</v>
      </c>
      <c r="E21" s="17" t="s">
        <v>51</v>
      </c>
      <c r="F21" s="17" t="s">
        <v>93</v>
      </c>
      <c r="G21" s="18" t="s">
        <v>4</v>
      </c>
      <c r="H21" s="19"/>
      <c r="I21" s="19"/>
      <c r="J21" s="17" t="s">
        <v>99</v>
      </c>
    </row>
    <row r="22" customFormat="false" ht="19.5" hidden="false" customHeight="true" outlineLevel="0" collapsed="false">
      <c r="A22" s="16" t="s">
        <v>11</v>
      </c>
      <c r="B22" s="16"/>
      <c r="C22" s="16"/>
      <c r="D22" s="16"/>
      <c r="E22" s="16"/>
      <c r="F22" s="16"/>
      <c r="G22" s="16"/>
      <c r="H22" s="16"/>
      <c r="I22" s="16"/>
      <c r="J22" s="16"/>
    </row>
    <row r="23" customFormat="false" ht="23.85" hidden="false" customHeight="false" outlineLevel="0" collapsed="false">
      <c r="A23" s="17" t="s">
        <v>100</v>
      </c>
      <c r="B23" s="17" t="s">
        <v>11</v>
      </c>
      <c r="C23" s="17" t="s">
        <v>101</v>
      </c>
      <c r="D23" s="17" t="s">
        <v>102</v>
      </c>
      <c r="E23" s="17" t="s">
        <v>51</v>
      </c>
      <c r="F23" s="17" t="s">
        <v>93</v>
      </c>
      <c r="G23" s="18" t="s">
        <v>4</v>
      </c>
      <c r="H23" s="19"/>
      <c r="I23" s="19"/>
      <c r="J23" s="17" t="s">
        <v>103</v>
      </c>
    </row>
    <row r="24" customFormat="false" ht="23.85" hidden="false" customHeight="false" outlineLevel="0" collapsed="false">
      <c r="A24" s="17" t="s">
        <v>104</v>
      </c>
      <c r="B24" s="17" t="s">
        <v>11</v>
      </c>
      <c r="C24" s="17" t="s">
        <v>105</v>
      </c>
      <c r="D24" s="17" t="s">
        <v>106</v>
      </c>
      <c r="E24" s="17" t="s">
        <v>107</v>
      </c>
      <c r="F24" s="17" t="s">
        <v>100</v>
      </c>
      <c r="G24" s="18" t="s">
        <v>4</v>
      </c>
      <c r="H24" s="19"/>
      <c r="I24" s="19"/>
      <c r="J24" s="17" t="s">
        <v>108</v>
      </c>
    </row>
    <row r="25" customFormat="false" ht="23.85" hidden="false" customHeight="false" outlineLevel="0" collapsed="false">
      <c r="A25" s="17" t="s">
        <v>109</v>
      </c>
      <c r="B25" s="17" t="s">
        <v>11</v>
      </c>
      <c r="C25" s="17" t="s">
        <v>110</v>
      </c>
      <c r="D25" s="17" t="s">
        <v>111</v>
      </c>
      <c r="E25" s="17" t="s">
        <v>112</v>
      </c>
      <c r="F25" s="17" t="s">
        <v>104</v>
      </c>
      <c r="G25" s="18" t="s">
        <v>4</v>
      </c>
      <c r="H25" s="19"/>
      <c r="I25" s="19"/>
      <c r="J25" s="17" t="s">
        <v>113</v>
      </c>
    </row>
    <row r="26" customFormat="false" ht="23.85" hidden="false" customHeight="false" outlineLevel="0" collapsed="false">
      <c r="A26" s="17" t="s">
        <v>114</v>
      </c>
      <c r="B26" s="17" t="s">
        <v>11</v>
      </c>
      <c r="C26" s="17" t="s">
        <v>115</v>
      </c>
      <c r="D26" s="17" t="s">
        <v>116</v>
      </c>
      <c r="E26" s="17" t="s">
        <v>51</v>
      </c>
      <c r="F26" s="17" t="s">
        <v>100</v>
      </c>
      <c r="G26" s="18" t="s">
        <v>4</v>
      </c>
      <c r="H26" s="19"/>
      <c r="I26" s="19"/>
      <c r="J26" s="17"/>
    </row>
    <row r="27" customFormat="false" ht="23.85" hidden="false" customHeight="false" outlineLevel="0" collapsed="false">
      <c r="A27" s="17" t="s">
        <v>117</v>
      </c>
      <c r="B27" s="17" t="s">
        <v>11</v>
      </c>
      <c r="C27" s="17" t="s">
        <v>118</v>
      </c>
      <c r="D27" s="17" t="s">
        <v>119</v>
      </c>
      <c r="E27" s="17" t="s">
        <v>51</v>
      </c>
      <c r="F27" s="17" t="s">
        <v>114</v>
      </c>
      <c r="G27" s="18" t="s">
        <v>4</v>
      </c>
      <c r="H27" s="19"/>
      <c r="I27" s="19"/>
      <c r="J27" s="17" t="s">
        <v>120</v>
      </c>
    </row>
    <row r="28" customFormat="false" ht="23.85" hidden="false" customHeight="false" outlineLevel="0" collapsed="false">
      <c r="A28" s="17" t="s">
        <v>121</v>
      </c>
      <c r="B28" s="17" t="s">
        <v>11</v>
      </c>
      <c r="C28" s="17" t="s">
        <v>122</v>
      </c>
      <c r="D28" s="17" t="s">
        <v>123</v>
      </c>
      <c r="E28" s="17" t="s">
        <v>107</v>
      </c>
      <c r="F28" s="17" t="s">
        <v>114</v>
      </c>
      <c r="G28" s="18" t="s">
        <v>4</v>
      </c>
      <c r="H28" s="19"/>
      <c r="I28" s="19"/>
      <c r="J28" s="17" t="s">
        <v>124</v>
      </c>
    </row>
    <row r="29" customFormat="false" ht="23.85" hidden="false" customHeight="false" outlineLevel="0" collapsed="false">
      <c r="A29" s="17" t="s">
        <v>125</v>
      </c>
      <c r="B29" s="17" t="s">
        <v>11</v>
      </c>
      <c r="C29" s="17" t="s">
        <v>126</v>
      </c>
      <c r="D29" s="17" t="s">
        <v>127</v>
      </c>
      <c r="E29" s="17" t="s">
        <v>51</v>
      </c>
      <c r="F29" s="17" t="s">
        <v>100</v>
      </c>
      <c r="G29" s="18" t="s">
        <v>4</v>
      </c>
      <c r="H29" s="19"/>
      <c r="I29" s="19"/>
      <c r="J29" s="17" t="s">
        <v>128</v>
      </c>
    </row>
    <row r="30" customFormat="false" ht="19.5" hidden="false" customHeight="true" outlineLevel="0" collapsed="false">
      <c r="A30" s="16" t="s">
        <v>12</v>
      </c>
      <c r="B30" s="16"/>
      <c r="C30" s="16"/>
      <c r="D30" s="16"/>
      <c r="E30" s="16"/>
      <c r="F30" s="16"/>
      <c r="G30" s="16"/>
      <c r="H30" s="16"/>
      <c r="I30" s="16"/>
      <c r="J30" s="16"/>
    </row>
    <row r="31" customFormat="false" ht="23.85" hidden="false" customHeight="false" outlineLevel="0" collapsed="false">
      <c r="A31" s="17" t="s">
        <v>129</v>
      </c>
      <c r="B31" s="17" t="s">
        <v>12</v>
      </c>
      <c r="C31" s="17" t="s">
        <v>130</v>
      </c>
      <c r="D31" s="17" t="s">
        <v>131</v>
      </c>
      <c r="E31" s="17" t="s">
        <v>107</v>
      </c>
      <c r="F31" s="17" t="s">
        <v>104</v>
      </c>
      <c r="G31" s="18" t="s">
        <v>4</v>
      </c>
      <c r="H31" s="19"/>
      <c r="I31" s="19"/>
      <c r="J31" s="17"/>
    </row>
    <row r="32" customFormat="false" ht="23.85" hidden="false" customHeight="false" outlineLevel="0" collapsed="false">
      <c r="A32" s="17" t="s">
        <v>132</v>
      </c>
      <c r="B32" s="17" t="s">
        <v>12</v>
      </c>
      <c r="C32" s="17" t="s">
        <v>133</v>
      </c>
      <c r="D32" s="17" t="s">
        <v>134</v>
      </c>
      <c r="E32" s="17" t="s">
        <v>135</v>
      </c>
      <c r="F32" s="17" t="s">
        <v>129</v>
      </c>
      <c r="G32" s="18" t="s">
        <v>4</v>
      </c>
      <c r="H32" s="19"/>
      <c r="I32" s="19"/>
      <c r="J32" s="17" t="s">
        <v>136</v>
      </c>
    </row>
    <row r="33" customFormat="false" ht="23.85" hidden="false" customHeight="false" outlineLevel="0" collapsed="false">
      <c r="A33" s="17" t="s">
        <v>137</v>
      </c>
      <c r="B33" s="17" t="s">
        <v>12</v>
      </c>
      <c r="C33" s="17" t="s">
        <v>138</v>
      </c>
      <c r="D33" s="17" t="s">
        <v>139</v>
      </c>
      <c r="E33" s="17" t="s">
        <v>51</v>
      </c>
      <c r="F33" s="17" t="s">
        <v>132</v>
      </c>
      <c r="G33" s="18" t="s">
        <v>4</v>
      </c>
      <c r="H33" s="19"/>
      <c r="I33" s="19"/>
      <c r="J33" s="17" t="s">
        <v>140</v>
      </c>
    </row>
    <row r="34" customFormat="false" ht="23.85" hidden="false" customHeight="false" outlineLevel="0" collapsed="false">
      <c r="A34" s="17" t="s">
        <v>141</v>
      </c>
      <c r="B34" s="17" t="s">
        <v>12</v>
      </c>
      <c r="C34" s="17" t="s">
        <v>142</v>
      </c>
      <c r="D34" s="17" t="s">
        <v>143</v>
      </c>
      <c r="E34" s="17" t="s">
        <v>107</v>
      </c>
      <c r="F34" s="17" t="s">
        <v>144</v>
      </c>
      <c r="G34" s="18" t="s">
        <v>4</v>
      </c>
      <c r="H34" s="19"/>
      <c r="I34" s="19"/>
      <c r="J34" s="17"/>
    </row>
    <row r="35" customFormat="false" ht="23.85" hidden="false" customHeight="false" outlineLevel="0" collapsed="false">
      <c r="A35" s="17" t="s">
        <v>145</v>
      </c>
      <c r="B35" s="17" t="s">
        <v>12</v>
      </c>
      <c r="C35" s="17" t="s">
        <v>146</v>
      </c>
      <c r="D35" s="17" t="s">
        <v>147</v>
      </c>
      <c r="E35" s="17" t="s">
        <v>148</v>
      </c>
      <c r="F35" s="17" t="s">
        <v>129</v>
      </c>
      <c r="G35" s="18" t="s">
        <v>4</v>
      </c>
      <c r="H35" s="19"/>
      <c r="I35" s="19"/>
      <c r="J35" s="17" t="s">
        <v>149</v>
      </c>
    </row>
    <row r="36" customFormat="false" ht="23.85" hidden="false" customHeight="false" outlineLevel="0" collapsed="false">
      <c r="A36" s="17" t="s">
        <v>150</v>
      </c>
      <c r="B36" s="17" t="s">
        <v>12</v>
      </c>
      <c r="C36" s="17" t="s">
        <v>151</v>
      </c>
      <c r="D36" s="17" t="s">
        <v>152</v>
      </c>
      <c r="E36" s="17" t="s">
        <v>153</v>
      </c>
      <c r="F36" s="17" t="s">
        <v>132</v>
      </c>
      <c r="G36" s="18" t="s">
        <v>4</v>
      </c>
      <c r="H36" s="19"/>
      <c r="I36" s="19"/>
      <c r="J36" s="17" t="s">
        <v>154</v>
      </c>
    </row>
    <row r="37" customFormat="false" ht="23.85" hidden="false" customHeight="false" outlineLevel="0" collapsed="false">
      <c r="A37" s="17" t="s">
        <v>155</v>
      </c>
      <c r="B37" s="17" t="s">
        <v>12</v>
      </c>
      <c r="C37" s="17" t="s">
        <v>156</v>
      </c>
      <c r="D37" s="17" t="s">
        <v>157</v>
      </c>
      <c r="E37" s="17" t="s">
        <v>51</v>
      </c>
      <c r="F37" s="17" t="s">
        <v>125</v>
      </c>
      <c r="G37" s="18" t="s">
        <v>4</v>
      </c>
      <c r="H37" s="19"/>
      <c r="I37" s="19"/>
      <c r="J37" s="17" t="s">
        <v>158</v>
      </c>
    </row>
    <row r="38" customFormat="false" ht="23.85" hidden="false" customHeight="false" outlineLevel="0" collapsed="false">
      <c r="A38" s="17" t="s">
        <v>159</v>
      </c>
      <c r="B38" s="17" t="s">
        <v>12</v>
      </c>
      <c r="C38" s="17" t="s">
        <v>160</v>
      </c>
      <c r="D38" s="17" t="s">
        <v>161</v>
      </c>
      <c r="E38" s="17" t="s">
        <v>51</v>
      </c>
      <c r="F38" s="17" t="s">
        <v>162</v>
      </c>
      <c r="G38" s="18" t="s">
        <v>4</v>
      </c>
      <c r="H38" s="19"/>
      <c r="I38" s="19"/>
      <c r="J38" s="17" t="s">
        <v>163</v>
      </c>
    </row>
    <row r="39" customFormat="false" ht="23.85" hidden="false" customHeight="false" outlineLevel="0" collapsed="false">
      <c r="A39" s="17" t="s">
        <v>164</v>
      </c>
      <c r="B39" s="17" t="s">
        <v>12</v>
      </c>
      <c r="C39" s="17" t="s">
        <v>165</v>
      </c>
      <c r="D39" s="17" t="s">
        <v>166</v>
      </c>
      <c r="E39" s="17" t="s">
        <v>167</v>
      </c>
      <c r="F39" s="17" t="s">
        <v>129</v>
      </c>
      <c r="G39" s="18" t="s">
        <v>4</v>
      </c>
      <c r="H39" s="19"/>
      <c r="I39" s="19"/>
      <c r="J39" s="17"/>
    </row>
    <row r="40" customFormat="false" ht="23.85" hidden="false" customHeight="false" outlineLevel="0" collapsed="false">
      <c r="A40" s="17" t="s">
        <v>168</v>
      </c>
      <c r="B40" s="17" t="s">
        <v>12</v>
      </c>
      <c r="C40" s="17" t="s">
        <v>169</v>
      </c>
      <c r="D40" s="17" t="s">
        <v>170</v>
      </c>
      <c r="E40" s="17" t="s">
        <v>51</v>
      </c>
      <c r="F40" s="17" t="s">
        <v>137</v>
      </c>
      <c r="G40" s="18" t="s">
        <v>4</v>
      </c>
      <c r="H40" s="19"/>
      <c r="I40" s="19"/>
      <c r="J40" s="17" t="s">
        <v>171</v>
      </c>
    </row>
    <row r="41" customFormat="false" ht="23.85" hidden="false" customHeight="false" outlineLevel="0" collapsed="false">
      <c r="A41" s="17" t="s">
        <v>172</v>
      </c>
      <c r="B41" s="17" t="s">
        <v>12</v>
      </c>
      <c r="C41" s="17" t="s">
        <v>173</v>
      </c>
      <c r="D41" s="17" t="s">
        <v>174</v>
      </c>
      <c r="E41" s="17" t="s">
        <v>153</v>
      </c>
      <c r="F41" s="17" t="s">
        <v>93</v>
      </c>
      <c r="G41" s="18" t="s">
        <v>4</v>
      </c>
      <c r="H41" s="19"/>
      <c r="I41" s="19"/>
      <c r="J41" s="17" t="s">
        <v>175</v>
      </c>
    </row>
    <row r="42" customFormat="false" ht="23.85" hidden="false" customHeight="false" outlineLevel="0" collapsed="false">
      <c r="A42" s="17" t="s">
        <v>176</v>
      </c>
      <c r="B42" s="17" t="s">
        <v>12</v>
      </c>
      <c r="C42" s="17" t="s">
        <v>177</v>
      </c>
      <c r="D42" s="17" t="s">
        <v>178</v>
      </c>
      <c r="E42" s="17" t="s">
        <v>91</v>
      </c>
      <c r="F42" s="17" t="s">
        <v>44</v>
      </c>
      <c r="G42" s="18" t="s">
        <v>4</v>
      </c>
      <c r="H42" s="19"/>
      <c r="I42" s="19"/>
      <c r="J42" s="17" t="s">
        <v>179</v>
      </c>
    </row>
    <row r="43" customFormat="false" ht="19.5" hidden="false" customHeight="true" outlineLevel="0" collapsed="false">
      <c r="A43" s="16" t="s">
        <v>13</v>
      </c>
      <c r="B43" s="16"/>
      <c r="C43" s="16"/>
      <c r="D43" s="16"/>
      <c r="E43" s="16"/>
      <c r="F43" s="16"/>
      <c r="G43" s="16"/>
      <c r="H43" s="16"/>
      <c r="I43" s="16"/>
      <c r="J43" s="16"/>
    </row>
    <row r="44" customFormat="false" ht="23.85" hidden="false" customHeight="false" outlineLevel="0" collapsed="false">
      <c r="A44" s="17" t="s">
        <v>180</v>
      </c>
      <c r="B44" s="17" t="s">
        <v>13</v>
      </c>
      <c r="C44" s="17" t="s">
        <v>181</v>
      </c>
      <c r="D44" s="17" t="s">
        <v>182</v>
      </c>
      <c r="E44" s="17" t="s">
        <v>183</v>
      </c>
      <c r="F44" s="17" t="s">
        <v>184</v>
      </c>
      <c r="G44" s="18" t="s">
        <v>4</v>
      </c>
      <c r="H44" s="19"/>
      <c r="I44" s="19"/>
      <c r="J44" s="17" t="s">
        <v>185</v>
      </c>
    </row>
    <row r="45" customFormat="false" ht="23.85" hidden="false" customHeight="false" outlineLevel="0" collapsed="false">
      <c r="A45" s="17" t="s">
        <v>186</v>
      </c>
      <c r="B45" s="17" t="s">
        <v>13</v>
      </c>
      <c r="C45" s="17" t="s">
        <v>187</v>
      </c>
      <c r="D45" s="17" t="s">
        <v>188</v>
      </c>
      <c r="E45" s="17" t="s">
        <v>183</v>
      </c>
      <c r="F45" s="17" t="s">
        <v>189</v>
      </c>
      <c r="G45" s="18" t="s">
        <v>4</v>
      </c>
      <c r="H45" s="19"/>
      <c r="I45" s="19"/>
      <c r="J45" s="17" t="s">
        <v>190</v>
      </c>
    </row>
    <row r="46" customFormat="false" ht="23.85" hidden="false" customHeight="false" outlineLevel="0" collapsed="false">
      <c r="A46" s="17" t="s">
        <v>191</v>
      </c>
      <c r="B46" s="17" t="s">
        <v>13</v>
      </c>
      <c r="C46" s="17" t="s">
        <v>192</v>
      </c>
      <c r="D46" s="17" t="s">
        <v>193</v>
      </c>
      <c r="E46" s="17" t="s">
        <v>183</v>
      </c>
      <c r="F46" s="17" t="s">
        <v>194</v>
      </c>
      <c r="G46" s="18" t="s">
        <v>4</v>
      </c>
      <c r="H46" s="19"/>
      <c r="I46" s="19"/>
      <c r="J46" s="17" t="s">
        <v>195</v>
      </c>
    </row>
    <row r="47" customFormat="false" ht="23.85" hidden="false" customHeight="false" outlineLevel="0" collapsed="false">
      <c r="A47" s="17" t="s">
        <v>196</v>
      </c>
      <c r="B47" s="17" t="s">
        <v>13</v>
      </c>
      <c r="C47" s="17" t="s">
        <v>197</v>
      </c>
      <c r="D47" s="17" t="s">
        <v>198</v>
      </c>
      <c r="E47" s="17" t="s">
        <v>183</v>
      </c>
      <c r="F47" s="17" t="s">
        <v>180</v>
      </c>
      <c r="G47" s="18" t="s">
        <v>4</v>
      </c>
      <c r="H47" s="19"/>
      <c r="I47" s="19"/>
      <c r="J47" s="17" t="s">
        <v>199</v>
      </c>
    </row>
    <row r="48" customFormat="false" ht="23.85" hidden="false" customHeight="false" outlineLevel="0" collapsed="false">
      <c r="A48" s="17" t="s">
        <v>200</v>
      </c>
      <c r="B48" s="17" t="s">
        <v>13</v>
      </c>
      <c r="C48" s="17" t="s">
        <v>201</v>
      </c>
      <c r="D48" s="17" t="s">
        <v>202</v>
      </c>
      <c r="E48" s="17" t="s">
        <v>183</v>
      </c>
      <c r="F48" s="17" t="s">
        <v>180</v>
      </c>
      <c r="G48" s="18" t="s">
        <v>4</v>
      </c>
      <c r="H48" s="19"/>
      <c r="I48" s="19"/>
      <c r="J48" s="17" t="s">
        <v>203</v>
      </c>
    </row>
    <row r="49" customFormat="false" ht="23.85" hidden="false" customHeight="false" outlineLevel="0" collapsed="false">
      <c r="A49" s="17" t="s">
        <v>204</v>
      </c>
      <c r="B49" s="17" t="s">
        <v>13</v>
      </c>
      <c r="C49" s="17" t="s">
        <v>205</v>
      </c>
      <c r="D49" s="17" t="s">
        <v>206</v>
      </c>
      <c r="E49" s="17" t="s">
        <v>183</v>
      </c>
      <c r="F49" s="17" t="s">
        <v>207</v>
      </c>
      <c r="G49" s="18" t="s">
        <v>4</v>
      </c>
      <c r="H49" s="19"/>
      <c r="I49" s="19"/>
      <c r="J49" s="17" t="s">
        <v>208</v>
      </c>
    </row>
    <row r="50" customFormat="false" ht="23.85" hidden="false" customHeight="false" outlineLevel="0" collapsed="false">
      <c r="A50" s="17" t="s">
        <v>209</v>
      </c>
      <c r="B50" s="17" t="s">
        <v>13</v>
      </c>
      <c r="C50" s="17" t="s">
        <v>210</v>
      </c>
      <c r="D50" s="17" t="s">
        <v>211</v>
      </c>
      <c r="E50" s="17" t="s">
        <v>183</v>
      </c>
      <c r="F50" s="17" t="s">
        <v>204</v>
      </c>
      <c r="G50" s="18" t="s">
        <v>4</v>
      </c>
      <c r="H50" s="19"/>
      <c r="I50" s="19"/>
      <c r="J50" s="17" t="s">
        <v>212</v>
      </c>
    </row>
    <row r="51" customFormat="false" ht="23.85" hidden="false" customHeight="false" outlineLevel="0" collapsed="false">
      <c r="A51" s="17" t="s">
        <v>213</v>
      </c>
      <c r="B51" s="17" t="s">
        <v>13</v>
      </c>
      <c r="C51" s="17" t="s">
        <v>214</v>
      </c>
      <c r="D51" s="17" t="s">
        <v>215</v>
      </c>
      <c r="E51" s="17" t="s">
        <v>183</v>
      </c>
      <c r="F51" s="17" t="s">
        <v>204</v>
      </c>
      <c r="G51" s="18" t="s">
        <v>4</v>
      </c>
      <c r="H51" s="19"/>
      <c r="I51" s="19"/>
      <c r="J51" s="17" t="s">
        <v>216</v>
      </c>
    </row>
    <row r="52" customFormat="false" ht="23.85" hidden="false" customHeight="false" outlineLevel="0" collapsed="false">
      <c r="A52" s="17" t="s">
        <v>217</v>
      </c>
      <c r="B52" s="17" t="s">
        <v>13</v>
      </c>
      <c r="C52" s="17" t="s">
        <v>218</v>
      </c>
      <c r="D52" s="17" t="s">
        <v>219</v>
      </c>
      <c r="E52" s="17" t="s">
        <v>183</v>
      </c>
      <c r="F52" s="17" t="s">
        <v>176</v>
      </c>
      <c r="G52" s="18" t="s">
        <v>4</v>
      </c>
      <c r="H52" s="19"/>
      <c r="I52" s="19"/>
      <c r="J52" s="17" t="s">
        <v>220</v>
      </c>
    </row>
    <row r="53" customFormat="false" ht="23.85" hidden="false" customHeight="false" outlineLevel="0" collapsed="false">
      <c r="A53" s="17" t="s">
        <v>221</v>
      </c>
      <c r="B53" s="17" t="s">
        <v>13</v>
      </c>
      <c r="C53" s="17" t="s">
        <v>222</v>
      </c>
      <c r="D53" s="17" t="s">
        <v>223</v>
      </c>
      <c r="E53" s="17" t="s">
        <v>183</v>
      </c>
      <c r="F53" s="17" t="s">
        <v>217</v>
      </c>
      <c r="G53" s="18" t="s">
        <v>4</v>
      </c>
      <c r="H53" s="19"/>
      <c r="I53" s="19"/>
      <c r="J53" s="17" t="s">
        <v>224</v>
      </c>
    </row>
    <row r="54" customFormat="false" ht="23.85" hidden="false" customHeight="false" outlineLevel="0" collapsed="false">
      <c r="A54" s="17" t="s">
        <v>225</v>
      </c>
      <c r="B54" s="17" t="s">
        <v>13</v>
      </c>
      <c r="C54" s="17" t="s">
        <v>226</v>
      </c>
      <c r="D54" s="17" t="s">
        <v>227</v>
      </c>
      <c r="E54" s="17" t="s">
        <v>183</v>
      </c>
      <c r="F54" s="17" t="s">
        <v>228</v>
      </c>
      <c r="G54" s="18" t="s">
        <v>4</v>
      </c>
      <c r="H54" s="19"/>
      <c r="I54" s="19"/>
      <c r="J54" s="17" t="s">
        <v>229</v>
      </c>
    </row>
    <row r="55" customFormat="false" ht="23.85" hidden="false" customHeight="false" outlineLevel="0" collapsed="false">
      <c r="A55" s="17" t="s">
        <v>230</v>
      </c>
      <c r="B55" s="17" t="s">
        <v>13</v>
      </c>
      <c r="C55" s="17" t="s">
        <v>231</v>
      </c>
      <c r="D55" s="17" t="s">
        <v>232</v>
      </c>
      <c r="E55" s="17" t="s">
        <v>135</v>
      </c>
      <c r="F55" s="17" t="s">
        <v>233</v>
      </c>
      <c r="G55" s="18" t="s">
        <v>4</v>
      </c>
      <c r="H55" s="19"/>
      <c r="I55" s="19"/>
      <c r="J55" s="17" t="s">
        <v>234</v>
      </c>
    </row>
    <row r="56" customFormat="false" ht="23.85" hidden="false" customHeight="false" outlineLevel="0" collapsed="false">
      <c r="A56" s="17" t="s">
        <v>235</v>
      </c>
      <c r="B56" s="17" t="s">
        <v>13</v>
      </c>
      <c r="C56" s="17" t="s">
        <v>236</v>
      </c>
      <c r="D56" s="17" t="s">
        <v>237</v>
      </c>
      <c r="E56" s="17" t="s">
        <v>183</v>
      </c>
      <c r="F56" s="17" t="s">
        <v>238</v>
      </c>
      <c r="G56" s="18" t="s">
        <v>4</v>
      </c>
      <c r="H56" s="19"/>
      <c r="I56" s="19"/>
      <c r="J56" s="17" t="s">
        <v>239</v>
      </c>
    </row>
    <row r="57" customFormat="false" ht="19.5" hidden="false" customHeight="true" outlineLevel="0" collapsed="false">
      <c r="A57" s="16" t="s">
        <v>14</v>
      </c>
      <c r="B57" s="16"/>
      <c r="C57" s="16"/>
      <c r="D57" s="16"/>
      <c r="E57" s="16"/>
      <c r="F57" s="16"/>
      <c r="G57" s="16"/>
      <c r="H57" s="16"/>
      <c r="I57" s="16"/>
      <c r="J57" s="16"/>
    </row>
    <row r="58" customFormat="false" ht="15" hidden="false" customHeight="false" outlineLevel="0" collapsed="false">
      <c r="A58" s="17" t="s">
        <v>240</v>
      </c>
      <c r="B58" s="17" t="s">
        <v>14</v>
      </c>
      <c r="C58" s="17" t="s">
        <v>241</v>
      </c>
      <c r="D58" s="17" t="s">
        <v>242</v>
      </c>
      <c r="E58" s="17" t="s">
        <v>51</v>
      </c>
      <c r="F58" s="17" t="s">
        <v>230</v>
      </c>
      <c r="G58" s="18" t="s">
        <v>4</v>
      </c>
      <c r="H58" s="19"/>
      <c r="I58" s="19"/>
      <c r="J58" s="17"/>
    </row>
    <row r="59" customFormat="false" ht="15" hidden="false" customHeight="false" outlineLevel="0" collapsed="false">
      <c r="A59" s="17" t="s">
        <v>243</v>
      </c>
      <c r="B59" s="17" t="s">
        <v>14</v>
      </c>
      <c r="C59" s="17" t="s">
        <v>244</v>
      </c>
      <c r="D59" s="17" t="s">
        <v>245</v>
      </c>
      <c r="E59" s="17" t="s">
        <v>246</v>
      </c>
      <c r="F59" s="17" t="s">
        <v>240</v>
      </c>
      <c r="G59" s="18" t="s">
        <v>4</v>
      </c>
      <c r="H59" s="19"/>
      <c r="I59" s="19"/>
      <c r="J59" s="17" t="s">
        <v>247</v>
      </c>
    </row>
    <row r="60" customFormat="false" ht="15" hidden="false" customHeight="false" outlineLevel="0" collapsed="false">
      <c r="A60" s="17" t="s">
        <v>248</v>
      </c>
      <c r="B60" s="17" t="s">
        <v>14</v>
      </c>
      <c r="C60" s="17" t="s">
        <v>249</v>
      </c>
      <c r="D60" s="17" t="s">
        <v>250</v>
      </c>
      <c r="E60" s="17" t="s">
        <v>183</v>
      </c>
      <c r="F60" s="17" t="s">
        <v>243</v>
      </c>
      <c r="G60" s="18" t="s">
        <v>4</v>
      </c>
      <c r="H60" s="19"/>
      <c r="I60" s="19"/>
      <c r="J60" s="17"/>
    </row>
    <row r="61" customFormat="false" ht="15" hidden="false" customHeight="false" outlineLevel="0" collapsed="false">
      <c r="A61" s="17" t="s">
        <v>251</v>
      </c>
      <c r="B61" s="17" t="s">
        <v>14</v>
      </c>
      <c r="C61" s="17" t="s">
        <v>252</v>
      </c>
      <c r="D61" s="17" t="s">
        <v>253</v>
      </c>
      <c r="E61" s="17" t="s">
        <v>51</v>
      </c>
      <c r="F61" s="17" t="s">
        <v>248</v>
      </c>
      <c r="G61" s="18" t="s">
        <v>4</v>
      </c>
      <c r="H61" s="19"/>
      <c r="I61" s="19"/>
      <c r="J61" s="17"/>
    </row>
    <row r="62" customFormat="false" ht="23.85" hidden="false" customHeight="false" outlineLevel="0" collapsed="false">
      <c r="A62" s="17" t="s">
        <v>254</v>
      </c>
      <c r="B62" s="17" t="s">
        <v>14</v>
      </c>
      <c r="C62" s="17" t="s">
        <v>255</v>
      </c>
      <c r="D62" s="17" t="s">
        <v>256</v>
      </c>
      <c r="E62" s="17" t="s">
        <v>107</v>
      </c>
      <c r="F62" s="17" t="s">
        <v>248</v>
      </c>
      <c r="G62" s="18" t="s">
        <v>4</v>
      </c>
      <c r="H62" s="19"/>
      <c r="I62" s="19"/>
      <c r="J62" s="17" t="s">
        <v>257</v>
      </c>
    </row>
    <row r="63" customFormat="false" ht="15" hidden="false" customHeight="false" outlineLevel="0" collapsed="false">
      <c r="A63" s="17" t="s">
        <v>258</v>
      </c>
      <c r="B63" s="17" t="s">
        <v>14</v>
      </c>
      <c r="C63" s="17" t="s">
        <v>259</v>
      </c>
      <c r="D63" s="17" t="s">
        <v>260</v>
      </c>
      <c r="E63" s="17" t="s">
        <v>51</v>
      </c>
      <c r="F63" s="17" t="s">
        <v>261</v>
      </c>
      <c r="G63" s="18" t="s">
        <v>4</v>
      </c>
      <c r="H63" s="19"/>
      <c r="I63" s="19"/>
      <c r="J63" s="17"/>
    </row>
    <row r="64" customFormat="false" ht="15" hidden="false" customHeight="false" outlineLevel="0" collapsed="false">
      <c r="A64" s="17" t="s">
        <v>262</v>
      </c>
      <c r="B64" s="17" t="s">
        <v>14</v>
      </c>
      <c r="C64" s="17" t="s">
        <v>263</v>
      </c>
      <c r="D64" s="17" t="s">
        <v>264</v>
      </c>
      <c r="E64" s="17" t="s">
        <v>51</v>
      </c>
      <c r="F64" s="17" t="s">
        <v>258</v>
      </c>
      <c r="G64" s="18" t="s">
        <v>4</v>
      </c>
      <c r="H64" s="19"/>
      <c r="I64" s="19"/>
      <c r="J64" s="17" t="s">
        <v>265</v>
      </c>
    </row>
    <row r="65" customFormat="false" ht="19.5" hidden="false" customHeight="true" outlineLevel="0" collapsed="false">
      <c r="A65" s="16" t="s">
        <v>15</v>
      </c>
      <c r="B65" s="16"/>
      <c r="C65" s="16"/>
      <c r="D65" s="16"/>
      <c r="E65" s="16"/>
      <c r="F65" s="16"/>
      <c r="G65" s="16"/>
      <c r="H65" s="16"/>
      <c r="I65" s="16"/>
      <c r="J65" s="16"/>
    </row>
    <row r="66" customFormat="false" ht="23.85" hidden="false" customHeight="false" outlineLevel="0" collapsed="false">
      <c r="A66" s="17" t="s">
        <v>266</v>
      </c>
      <c r="B66" s="17" t="s">
        <v>15</v>
      </c>
      <c r="C66" s="17" t="s">
        <v>267</v>
      </c>
      <c r="D66" s="17" t="s">
        <v>268</v>
      </c>
      <c r="E66" s="17" t="s">
        <v>183</v>
      </c>
      <c r="F66" s="17" t="s">
        <v>269</v>
      </c>
      <c r="G66" s="18" t="s">
        <v>4</v>
      </c>
      <c r="H66" s="19"/>
      <c r="I66" s="19"/>
      <c r="J66" s="17" t="s">
        <v>270</v>
      </c>
    </row>
    <row r="67" customFormat="false" ht="23.85" hidden="false" customHeight="false" outlineLevel="0" collapsed="false">
      <c r="A67" s="17" t="s">
        <v>271</v>
      </c>
      <c r="B67" s="17" t="s">
        <v>15</v>
      </c>
      <c r="C67" s="17" t="s">
        <v>272</v>
      </c>
      <c r="D67" s="17" t="s">
        <v>273</v>
      </c>
      <c r="E67" s="17" t="s">
        <v>183</v>
      </c>
      <c r="F67" s="17" t="s">
        <v>145</v>
      </c>
      <c r="G67" s="18" t="s">
        <v>4</v>
      </c>
      <c r="H67" s="19"/>
      <c r="I67" s="19"/>
      <c r="J67" s="17" t="s">
        <v>274</v>
      </c>
    </row>
    <row r="68" customFormat="false" ht="23.85" hidden="false" customHeight="false" outlineLevel="0" collapsed="false">
      <c r="A68" s="17" t="s">
        <v>275</v>
      </c>
      <c r="B68" s="17" t="s">
        <v>15</v>
      </c>
      <c r="C68" s="17" t="s">
        <v>276</v>
      </c>
      <c r="D68" s="17" t="s">
        <v>277</v>
      </c>
      <c r="E68" s="17" t="s">
        <v>183</v>
      </c>
      <c r="F68" s="17" t="s">
        <v>258</v>
      </c>
      <c r="G68" s="18" t="s">
        <v>4</v>
      </c>
      <c r="H68" s="19"/>
      <c r="I68" s="19"/>
      <c r="J68" s="17" t="s">
        <v>278</v>
      </c>
    </row>
    <row r="69" customFormat="false" ht="23.85" hidden="false" customHeight="false" outlineLevel="0" collapsed="false">
      <c r="A69" s="17" t="s">
        <v>279</v>
      </c>
      <c r="B69" s="17" t="s">
        <v>15</v>
      </c>
      <c r="C69" s="17" t="s">
        <v>280</v>
      </c>
      <c r="D69" s="17" t="s">
        <v>281</v>
      </c>
      <c r="E69" s="17" t="s">
        <v>183</v>
      </c>
      <c r="F69" s="17" t="s">
        <v>258</v>
      </c>
      <c r="G69" s="18" t="s">
        <v>4</v>
      </c>
      <c r="H69" s="19"/>
      <c r="I69" s="19"/>
      <c r="J69" s="17" t="s">
        <v>282</v>
      </c>
    </row>
    <row r="70" customFormat="false" ht="23.85" hidden="false" customHeight="false" outlineLevel="0" collapsed="false">
      <c r="A70" s="17" t="s">
        <v>283</v>
      </c>
      <c r="B70" s="17" t="s">
        <v>15</v>
      </c>
      <c r="C70" s="17" t="s">
        <v>284</v>
      </c>
      <c r="D70" s="17" t="s">
        <v>285</v>
      </c>
      <c r="E70" s="17" t="s">
        <v>286</v>
      </c>
      <c r="F70" s="17" t="s">
        <v>258</v>
      </c>
      <c r="G70" s="18" t="s">
        <v>4</v>
      </c>
      <c r="H70" s="19"/>
      <c r="I70" s="19"/>
      <c r="J70" s="17" t="s">
        <v>287</v>
      </c>
    </row>
    <row r="71" customFormat="false" ht="23.85" hidden="false" customHeight="false" outlineLevel="0" collapsed="false">
      <c r="A71" s="17" t="s">
        <v>288</v>
      </c>
      <c r="B71" s="17" t="s">
        <v>15</v>
      </c>
      <c r="C71" s="17" t="s">
        <v>289</v>
      </c>
      <c r="D71" s="17" t="s">
        <v>290</v>
      </c>
      <c r="E71" s="17" t="s">
        <v>183</v>
      </c>
      <c r="F71" s="17" t="s">
        <v>258</v>
      </c>
      <c r="G71" s="18" t="s">
        <v>4</v>
      </c>
      <c r="H71" s="19"/>
      <c r="I71" s="19"/>
      <c r="J71" s="17" t="s">
        <v>291</v>
      </c>
    </row>
    <row r="72" customFormat="false" ht="23.85" hidden="false" customHeight="false" outlineLevel="0" collapsed="false">
      <c r="A72" s="17" t="s">
        <v>292</v>
      </c>
      <c r="B72" s="17" t="s">
        <v>15</v>
      </c>
      <c r="C72" s="17" t="s">
        <v>293</v>
      </c>
      <c r="D72" s="17" t="s">
        <v>294</v>
      </c>
      <c r="E72" s="17" t="s">
        <v>183</v>
      </c>
      <c r="F72" s="17" t="s">
        <v>258</v>
      </c>
      <c r="G72" s="18" t="s">
        <v>4</v>
      </c>
      <c r="H72" s="19"/>
      <c r="I72" s="19"/>
      <c r="J72" s="17" t="s">
        <v>295</v>
      </c>
    </row>
    <row r="73" customFormat="false" ht="23.85" hidden="false" customHeight="false" outlineLevel="0" collapsed="false">
      <c r="A73" s="17" t="s">
        <v>296</v>
      </c>
      <c r="B73" s="17" t="s">
        <v>15</v>
      </c>
      <c r="C73" s="17" t="s">
        <v>297</v>
      </c>
      <c r="D73" s="17" t="s">
        <v>298</v>
      </c>
      <c r="E73" s="17" t="s">
        <v>286</v>
      </c>
      <c r="F73" s="17" t="s">
        <v>271</v>
      </c>
      <c r="G73" s="18" t="s">
        <v>4</v>
      </c>
      <c r="H73" s="19"/>
      <c r="I73" s="19"/>
      <c r="J73" s="17" t="s">
        <v>299</v>
      </c>
    </row>
    <row r="74" customFormat="false" ht="23.85" hidden="false" customHeight="false" outlineLevel="0" collapsed="false">
      <c r="A74" s="17" t="s">
        <v>300</v>
      </c>
      <c r="B74" s="17" t="s">
        <v>15</v>
      </c>
      <c r="C74" s="17" t="s">
        <v>301</v>
      </c>
      <c r="D74" s="17" t="s">
        <v>302</v>
      </c>
      <c r="E74" s="17" t="s">
        <v>51</v>
      </c>
      <c r="F74" s="17" t="s">
        <v>258</v>
      </c>
      <c r="G74" s="18" t="s">
        <v>4</v>
      </c>
      <c r="H74" s="19"/>
      <c r="I74" s="19"/>
      <c r="J74" s="17" t="s">
        <v>303</v>
      </c>
    </row>
    <row r="75" customFormat="false" ht="23.85" hidden="false" customHeight="false" outlineLevel="0" collapsed="false">
      <c r="A75" s="17" t="s">
        <v>304</v>
      </c>
      <c r="B75" s="17" t="s">
        <v>15</v>
      </c>
      <c r="C75" s="17" t="s">
        <v>305</v>
      </c>
      <c r="D75" s="17" t="s">
        <v>306</v>
      </c>
      <c r="E75" s="17" t="s">
        <v>135</v>
      </c>
      <c r="F75" s="17" t="s">
        <v>44</v>
      </c>
      <c r="G75" s="18" t="s">
        <v>4</v>
      </c>
      <c r="H75" s="19"/>
      <c r="I75" s="19"/>
      <c r="J75" s="17" t="s">
        <v>307</v>
      </c>
    </row>
    <row r="76" customFormat="false" ht="23.85" hidden="false" customHeight="false" outlineLevel="0" collapsed="false">
      <c r="A76" s="17" t="s">
        <v>308</v>
      </c>
      <c r="B76" s="17" t="s">
        <v>15</v>
      </c>
      <c r="C76" s="17" t="s">
        <v>309</v>
      </c>
      <c r="D76" s="17" t="s">
        <v>310</v>
      </c>
      <c r="E76" s="17" t="s">
        <v>51</v>
      </c>
      <c r="F76" s="17" t="s">
        <v>262</v>
      </c>
      <c r="G76" s="18" t="s">
        <v>4</v>
      </c>
      <c r="H76" s="19"/>
      <c r="I76" s="19"/>
      <c r="J76" s="17" t="s">
        <v>311</v>
      </c>
    </row>
  </sheetData>
  <autoFilter ref="A4:J76"/>
  <mergeCells count="7">
    <mergeCell ref="A5:J5"/>
    <mergeCell ref="A14:J14"/>
    <mergeCell ref="A22:J22"/>
    <mergeCell ref="A30:J30"/>
    <mergeCell ref="A43:J43"/>
    <mergeCell ref="A57:J57"/>
    <mergeCell ref="A65:J65"/>
  </mergeCells>
  <conditionalFormatting sqref="A5:J76">
    <cfRule type="expression" priority="2" aboveAverage="0" equalAverage="0" bottom="0" percent="0" rank="0" text="" dxfId="7">
      <formula>$G5="Tamamlandı"</formula>
    </cfRule>
    <cfRule type="expression" priority="3" aboveAverage="0" equalAverage="0" bottom="0" percent="0" rank="0" text="" dxfId="8">
      <formula>$G5="Devam"</formula>
    </cfRule>
    <cfRule type="expression" priority="4" aboveAverage="0" equalAverage="0" bottom="0" percent="0" rank="0" text="" dxfId="9">
      <formula>$G5="Beklemede"</formula>
    </cfRule>
    <cfRule type="expression" priority="5" aboveAverage="0" equalAverage="0" bottom="0" percent="0" rank="0" text="" dxfId="10">
      <formula>AND($H5&lt;&gt;"",$H5&lt;TODAY(),$G5&lt;&gt;"Tamamlandı")</formula>
    </cfRule>
  </conditionalFormatting>
  <dataValidations count="1">
    <dataValidation allowBlank="false" errorStyle="stop" operator="between" showDropDown="false" showErrorMessage="false" showInputMessage="false" sqref="G5:G76" type="list">
      <formula1>"Açık,Devam,Beklemede,Tamamlandı"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2026-10-14T12:06:17Z</dcterms:created>
  <dc:creator>openpyxl</dc:creator>
  <dc:description/>
  <dc:language>en-US</dc:language>
  <cp:lastModifiedBy/>
  <dcterms:modified xsi:type="dcterms:W3CDTF">2026-10-14T12:06:17Z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